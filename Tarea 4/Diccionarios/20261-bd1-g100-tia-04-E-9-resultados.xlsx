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ol\OneDrive\Escritorio\U\3. SEMESTRE\Base de datos\TAREA 4\"/>
    </mc:Choice>
  </mc:AlternateContent>
  <xr:revisionPtr revIDLastSave="0" documentId="13_ncr:1_{8AD7C7DE-176C-4EE1-A55B-361D4C94CEA5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Tipos de Dato" sheetId="1" r:id="rId1"/>
    <sheet name="Inve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gH4XWYhxTR8MV825D2AG38Xm92QnBKPP77+o2APUu4="/>
    </ext>
  </extLst>
</workbook>
</file>

<file path=xl/calcChain.xml><?xml version="1.0" encoding="utf-8"?>
<calcChain xmlns="http://schemas.openxmlformats.org/spreadsheetml/2006/main">
  <c r="K42" i="5" l="1"/>
  <c r="C42" i="5"/>
  <c r="A42" i="5"/>
  <c r="K35" i="5"/>
  <c r="C35" i="5"/>
  <c r="A35" i="5"/>
  <c r="K29" i="5"/>
  <c r="C29" i="5"/>
  <c r="A29" i="5"/>
  <c r="K23" i="5"/>
  <c r="C23" i="5"/>
  <c r="A23" i="5"/>
  <c r="K43" i="4"/>
  <c r="C43" i="4"/>
  <c r="A43" i="4"/>
  <c r="K36" i="4"/>
  <c r="C36" i="4"/>
  <c r="A36" i="4"/>
  <c r="K30" i="4"/>
  <c r="C30" i="4"/>
  <c r="A30" i="4"/>
  <c r="K23" i="4"/>
  <c r="C23" i="4"/>
  <c r="A23" i="4"/>
  <c r="K45" i="3"/>
  <c r="C45" i="3"/>
  <c r="A45" i="3"/>
  <c r="K37" i="3"/>
  <c r="C37" i="3"/>
  <c r="A37" i="3"/>
  <c r="K31" i="3"/>
  <c r="C31" i="3"/>
  <c r="A31" i="3"/>
  <c r="K24" i="3"/>
  <c r="C24" i="3"/>
  <c r="A24" i="3"/>
  <c r="C3" i="3"/>
  <c r="K13" i="5"/>
  <c r="C13" i="5"/>
  <c r="K3" i="5"/>
  <c r="C3" i="5"/>
  <c r="A3" i="5"/>
  <c r="K13" i="4"/>
  <c r="C13" i="4"/>
  <c r="K3" i="4"/>
  <c r="C3" i="4"/>
  <c r="A3" i="4"/>
  <c r="K13" i="3"/>
  <c r="C13" i="3"/>
  <c r="K3" i="3"/>
  <c r="A3" i="3"/>
  <c r="A5" i="2"/>
  <c r="A13" i="5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13" i="4"/>
  <c r="A13" i="3"/>
</calcChain>
</file>

<file path=xl/sharedStrings.xml><?xml version="1.0" encoding="utf-8"?>
<sst xmlns="http://schemas.openxmlformats.org/spreadsheetml/2006/main" count="1195" uniqueCount="233">
  <si>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</si>
  <si>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</si>
  <si>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</si>
  <si>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</si>
  <si>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</si>
  <si>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</si>
  <si>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</si>
  <si>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</si>
  <si>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</si>
  <si>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</si>
  <si>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</si>
  <si>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</si>
  <si>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</si>
  <si>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</si>
  <si>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</si>
  <si>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</si>
  <si>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</si>
  <si>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</si>
  <si>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</si>
  <si>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</si>
  <si>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</si>
  <si>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</si>
  <si>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</si>
  <si>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</si>
  <si>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</si>
  <si>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</si>
  <si>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</si>
  <si>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</si>
  <si>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</si>
  <si>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</si>
  <si>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</si>
  <si>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</si>
  <si>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</si>
  <si>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</si>
  <si>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</si>
  <si>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</si>
  <si>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</si>
  <si>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</si>
  <si>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</si>
  <si>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</si>
  <si>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</si>
  <si>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</si>
  <si>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</si>
  <si>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</si>
  <si>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MySQL - Tablas en Detalle</t>
  </si>
  <si>
    <t>Tipo Dato - MySQL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</si>
  <si>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</si>
  <si>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MS SQL Server - Tablas en Detalle</t>
  </si>
  <si>
    <t>Tipo Dato - MS SQL Server</t>
  </si>
  <si>
    <t xml:space="preserve">Tamaño 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</si>
  <si>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</si>
  <si>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SERIAL</t>
  </si>
  <si>
    <t>CHAR(36)</t>
  </si>
  <si>
    <t>UNIQUEIDENTIFIER</t>
  </si>
  <si>
    <t>INTEGER</t>
  </si>
  <si>
    <t>INT</t>
  </si>
  <si>
    <t>DECIMAL(p,s)</t>
  </si>
  <si>
    <t>BOOLEAN</t>
  </si>
  <si>
    <t>TINYINT(1)</t>
  </si>
  <si>
    <t>BIT</t>
  </si>
  <si>
    <t>TEXT</t>
  </si>
  <si>
    <t>LONGTEXT</t>
  </si>
  <si>
    <t>NVARCHAR(MAX)</t>
  </si>
  <si>
    <t>CHAR(n)</t>
  </si>
  <si>
    <t>DATE</t>
  </si>
  <si>
    <t>TIMESTAMP</t>
  </si>
  <si>
    <t>DATETIME</t>
  </si>
  <si>
    <t>DATETIME2</t>
  </si>
  <si>
    <t>Clave primaria numérica automática</t>
  </si>
  <si>
    <t>INT AUTO_INCREMENT</t>
  </si>
  <si>
    <t>INT IDENTITY(1,1)</t>
  </si>
  <si>
    <t>Identificador único universal</t>
  </si>
  <si>
    <t>Números enteros sin decimales</t>
  </si>
  <si>
    <t>Números con precisión fija</t>
  </si>
  <si>
    <t>NUMERIC(p,s)</t>
  </si>
  <si>
    <t>Valores Verdadero/Falso</t>
  </si>
  <si>
    <t>Cadenas de caracteres largas</t>
  </si>
  <si>
    <t>Texto de longitud fija</t>
  </si>
  <si>
    <t>Solo fecha (Año-Mes-Día)</t>
  </si>
  <si>
    <t>Marca de tiempo completa</t>
  </si>
  <si>
    <t>Solo hora</t>
  </si>
  <si>
    <t>TIME</t>
  </si>
  <si>
    <t>Enlaces web</t>
  </si>
  <si>
    <t>VARCHAR(2048)</t>
  </si>
  <si>
    <t>NVARCHAR(2048)</t>
  </si>
  <si>
    <t>Lista de valores definidos</t>
  </si>
  <si>
    <t>CREATE TYPE... AS ENUM</t>
  </si>
  <si>
    <t>ENUM('v1', 'v2')</t>
  </si>
  <si>
    <t>CHECK (campo IN (...))</t>
  </si>
  <si>
    <t>Cadenas de longitud variable</t>
  </si>
  <si>
    <t>VARCHAR(n)</t>
  </si>
  <si>
    <t>NVARCHAR(n)</t>
  </si>
  <si>
    <t>Datos en formato binario</t>
  </si>
  <si>
    <t>BYTEA</t>
  </si>
  <si>
    <t>BLOB</t>
  </si>
  <si>
    <t>VARBINARY(MAX)</t>
  </si>
  <si>
    <t>Datos semiestructurados</t>
  </si>
  <si>
    <t>JSON binario optimizado</t>
  </si>
  <si>
    <t>Archivos de imagen</t>
  </si>
  <si>
    <t>LONGBLOB</t>
  </si>
  <si>
    <t>Archivos de sonido</t>
  </si>
  <si>
    <t>SERIAL o BIGSERIAL</t>
  </si>
  <si>
    <t>JSON (Natual)</t>
  </si>
  <si>
    <t>JSON (v. 2022+)</t>
  </si>
  <si>
    <t>id_usuario</t>
  </si>
  <si>
    <t>ID único del usuario</t>
  </si>
  <si>
    <t>NO</t>
  </si>
  <si>
    <t>S</t>
  </si>
  <si>
    <t>Clave primaria autoincremental.</t>
  </si>
  <si>
    <t>nombre</t>
  </si>
  <si>
    <t>Nombre completo</t>
  </si>
  <si>
    <t>VARCHAR(100)</t>
  </si>
  <si>
    <t>correo</t>
  </si>
  <si>
    <t>Email institucional</t>
  </si>
  <si>
    <t>Debe ser único para evitar duplicados.</t>
  </si>
  <si>
    <t>id_programa</t>
  </si>
  <si>
    <t>Programa académico</t>
  </si>
  <si>
    <t>Relación con tabla programa_academico.</t>
  </si>
  <si>
    <t>fecha_registro</t>
  </si>
  <si>
    <t>Fecha de creación</t>
  </si>
  <si>
    <t>Default: CURRENT_TIMESTAMP.</t>
  </si>
  <si>
    <t>perfil_usuario</t>
  </si>
  <si>
    <t>Datos Big Data</t>
  </si>
  <si>
    <t>SI</t>
  </si>
  <si>
    <r>
      <t>Campo NoSQL:</t>
    </r>
    <r>
      <rPr>
        <sz val="10"/>
        <color rgb="FF1F1F1F"/>
        <rFont val="Arial"/>
        <family val="2"/>
        <scheme val="minor"/>
      </rPr>
      <t xml:space="preserve"> Intereses y telemetría.</t>
    </r>
  </si>
  <si>
    <t>USUARIO</t>
  </si>
  <si>
    <t>Datos de estudiantes, docentes y perfiles de la red.</t>
  </si>
  <si>
    <t>PUBLICACION</t>
  </si>
  <si>
    <t>Contenido compartido por los usuarios.</t>
  </si>
  <si>
    <t>GRUPO_ESTUDIO</t>
  </si>
  <si>
    <t>Espacios para materias o intereses.</t>
  </si>
  <si>
    <t>MIEMBRO_GRUPO (Intermedia)</t>
  </si>
  <si>
    <t>Relación N:M entre usuarios y grupos.</t>
  </si>
  <si>
    <t>EVENTO</t>
  </si>
  <si>
    <t>Actividades programadas (Talleres, reuniones).</t>
  </si>
  <si>
    <t>COMENTARIO</t>
  </si>
  <si>
    <t>Respuestas a publicaciones.</t>
  </si>
  <si>
    <t>id_publicacion</t>
  </si>
  <si>
    <t>ID del post</t>
  </si>
  <si>
    <t>Autor del post</t>
  </si>
  <si>
    <t>FK a tabla USUARIO.</t>
  </si>
  <si>
    <t>contenido</t>
  </si>
  <si>
    <t>Texto del post</t>
  </si>
  <si>
    <t>url_recurso</t>
  </si>
  <si>
    <t>Link multimedia</t>
  </si>
  <si>
    <t>fecha_hora</t>
  </si>
  <si>
    <t>Momento del post</t>
  </si>
  <si>
    <t>metadatos_iot</t>
  </si>
  <si>
    <t>Datos de origen</t>
  </si>
  <si>
    <r>
      <t>Campo IoT:</t>
    </r>
    <r>
      <rPr>
        <sz val="10"/>
        <color rgb="FF1F1F1F"/>
        <rFont val="Arial"/>
        <family val="2"/>
        <scheme val="minor"/>
      </rPr>
      <t xml:space="preserve"> Geolocalización o dispositivo.</t>
    </r>
  </si>
  <si>
    <t>id_grupo</t>
  </si>
  <si>
    <t>ID del grupo</t>
  </si>
  <si>
    <t>nombre_grupo</t>
  </si>
  <si>
    <t>Nombre del grupo</t>
  </si>
  <si>
    <t>descripcion</t>
  </si>
  <si>
    <t>Objetivo del grupo</t>
  </si>
  <si>
    <t>id_creador</t>
  </si>
  <si>
    <t>Usuario que creó</t>
  </si>
  <si>
    <t>Estudiante</t>
  </si>
  <si>
    <t>PK Compuesta.</t>
  </si>
  <si>
    <t>Grupo</t>
  </si>
  <si>
    <t>fecha_union</t>
  </si>
  <si>
    <t>Fecha ingreso</t>
  </si>
  <si>
    <t>id_evento</t>
  </si>
  <si>
    <t>ID del evento</t>
  </si>
  <si>
    <t>titulo</t>
  </si>
  <si>
    <t>Nombre actividad</t>
  </si>
  <si>
    <t>VARCHAR(150)</t>
  </si>
  <si>
    <t>fecha_inicio</t>
  </si>
  <si>
    <t>Inicio</t>
  </si>
  <si>
    <t>fecha_fin</t>
  </si>
  <si>
    <t>Fin</t>
  </si>
  <si>
    <t>Debe ser mayor a fecha_inicio.</t>
  </si>
  <si>
    <t>Grupo organizador</t>
  </si>
  <si>
    <t>FK a GRUPO_ESTUDIO.</t>
  </si>
  <si>
    <t>id_comentario</t>
  </si>
  <si>
    <t>ID comentario</t>
  </si>
  <si>
    <t>Post origen</t>
  </si>
  <si>
    <t>Autor</t>
  </si>
  <si>
    <t>texto</t>
  </si>
  <si>
    <t>Contenido</t>
  </si>
  <si>
    <t>ID único autoincremental</t>
  </si>
  <si>
    <t>Clave primaria.</t>
  </si>
  <si>
    <t>Nombre del estudiante/docente</t>
  </si>
  <si>
    <t>VARCHAR</t>
  </si>
  <si>
    <t>Índice único.</t>
  </si>
  <si>
    <t>FK a programa académico</t>
  </si>
  <si>
    <t>Relación con programa_academico.</t>
  </si>
  <si>
    <t>perfil_detallado</t>
  </si>
  <si>
    <t>Datos para Big Data</t>
  </si>
  <si>
    <t>fecha_creacion</t>
  </si>
  <si>
    <t>Registro en el sistema</t>
  </si>
  <si>
    <t>Por defecto: CURRENT_TIMESTAMP.</t>
  </si>
  <si>
    <t>Campo NoSQL: Intereses y logs.</t>
  </si>
  <si>
    <t>Autor de la publicación</t>
  </si>
  <si>
    <t>Equivale a TEXT en otros SGBD.</t>
  </si>
  <si>
    <t>telemetria_iot</t>
  </si>
  <si>
    <t>Datos de origen/sensores</t>
  </si>
  <si>
    <t>Momento de publicación</t>
  </si>
  <si>
    <t>Campo IoT: Ubicación o dispositivo.</t>
  </si>
  <si>
    <t>Nombre descriptivo</t>
  </si>
  <si>
    <t>id_lider</t>
  </si>
  <si>
    <t>Usuario administrador</t>
  </si>
  <si>
    <t>FK a USUARIO.</t>
  </si>
  <si>
    <t>categoria</t>
  </si>
  <si>
    <t>Tipo de grupo</t>
  </si>
  <si>
    <t>Ej: 'Estudio', 'Deporte', 'IA'.</t>
  </si>
  <si>
    <t>ID del miembro</t>
  </si>
  <si>
    <t>fecha_ingreso</t>
  </si>
  <si>
    <t>Fecha de unión</t>
  </si>
  <si>
    <t>Nombre del evento</t>
  </si>
  <si>
    <t>Inicio actividad</t>
  </si>
  <si>
    <t>Fin actividad</t>
  </si>
  <si>
    <t>Post reaccionado</t>
  </si>
  <si>
    <t>Usuario que reacciona</t>
  </si>
  <si>
    <t>tipo_reaccion</t>
  </si>
  <si>
    <t>Emoji o tipo</t>
  </si>
  <si>
    <t>Ej: 'like', 'encanta'.</t>
  </si>
  <si>
    <t>Clave primaria</t>
  </si>
  <si>
    <t>Autoincremental.</t>
  </si>
  <si>
    <t>NVARCHAR</t>
  </si>
  <si>
    <t>perfil_extendido</t>
  </si>
  <si>
    <t>Default: GETDATE().</t>
  </si>
  <si>
    <t>Campo NoSQL: Almacena JSON.</t>
  </si>
  <si>
    <t>Datos de sensores/dispositivo</t>
  </si>
  <si>
    <t>Campo IoT: JSON con geolocalización.</t>
  </si>
  <si>
    <t>Título del grupo</t>
  </si>
  <si>
    <t>Usuario que administra</t>
  </si>
  <si>
    <t>Fecha de ingreso</t>
  </si>
  <si>
    <t>ID único</t>
  </si>
  <si>
    <t>Debe ser &gt; fecha_inicio.</t>
  </si>
  <si>
    <t>ID del comentario</t>
  </si>
  <si>
    <t>Post relacionado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</si>
</sst>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sz val="16"/>
      <color theme="1"/>
      <name val="Calibri"/>
    </font>
    <font>
      <i/>
      <sz val="12"/>
      <color rgb="FF666666"/>
      <name val="Calibri"/>
    </font>
    <font>
      <b/>
      <i/>
      <sz val="17"/>
      <color rgb="FFFF0000"/>
      <name val="Calibri"/>
    </font>
    <font>
      <b/>
      <i/>
      <sz val="17"/>
      <color rgb="FFB45F06"/>
      <name val="Calibri"/>
    </font>
    <font>
      <b/>
      <i/>
      <sz val="17"/>
      <color rgb="FF980000"/>
      <name val="Calibri"/>
    </font>
    <font>
      <b/>
      <i/>
      <sz val="17"/>
      <color rgb="FF0000FF"/>
      <name val="Calibri"/>
    </font>
    <font>
      <sz val="10"/>
      <color rgb="FF1F1F1F"/>
      <name val="Arial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left" vertical="center" wrapText="1"/>
    </xf>
    <xf numFmtId="0" fontId="8" fillId="0" borderId="0" xfId="0" applyFont="1"/>
    <xf numFmtId="0" fontId="13" fillId="10" borderId="19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4" fillId="7" borderId="3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9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6" fillId="0" borderId="11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3" fillId="0" borderId="5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6" fillId="0" borderId="18" xfId="0" applyFont="1" applyBorder="1"/>
    <xf numFmtId="0" fontId="18" fillId="10" borderId="2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6" fillId="3" borderId="20" xfId="0" applyFont="1" applyFill="1" applyBorder="1" applyAlignment="1">
      <alignment horizontal="left" vertical="center" wrapText="1"/>
    </xf>
    <xf numFmtId="0" fontId="6" fillId="0" borderId="21" xfId="0" applyFont="1" applyBorder="1"/>
    <xf numFmtId="0" fontId="6" fillId="0" borderId="22" xfId="0" applyFont="1" applyBorder="1"/>
    <xf numFmtId="0" fontId="4" fillId="6" borderId="25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4" fillId="6" borderId="27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17" fillId="0" borderId="31" xfId="0" applyFont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5" fillId="3" borderId="20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8" xfId="0" applyFont="1" applyBorder="1"/>
    <xf numFmtId="0" fontId="6" fillId="0" borderId="29" xfId="0" applyFont="1" applyBorder="1"/>
    <xf numFmtId="0" fontId="12" fillId="6" borderId="0" xfId="0" applyFont="1" applyFill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6" fillId="0" borderId="37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6" fillId="0" borderId="36" xfId="0" applyFont="1" applyBorder="1"/>
    <xf numFmtId="0" fontId="12" fillId="7" borderId="0" xfId="0" applyFont="1" applyFill="1" applyAlignment="1">
      <alignment horizontal="center" vertical="center"/>
    </xf>
    <xf numFmtId="0" fontId="16" fillId="3" borderId="4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16" fillId="3" borderId="38" xfId="0" applyFont="1" applyFill="1" applyBorder="1" applyAlignment="1">
      <alignment horizontal="center" vertical="center" wrapText="1"/>
    </xf>
    <xf numFmtId="0" fontId="13" fillId="10" borderId="39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4" fillId="5" borderId="40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14" fillId="5" borderId="45" xfId="0" applyFont="1" applyFill="1" applyBorder="1" applyAlignment="1">
      <alignment horizontal="center" vertical="center" wrapText="1"/>
    </xf>
    <xf numFmtId="0" fontId="6" fillId="0" borderId="46" xfId="0" applyFont="1" applyBorder="1"/>
    <xf numFmtId="0" fontId="15" fillId="0" borderId="45" xfId="0" applyFont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center" vertical="center"/>
    </xf>
    <xf numFmtId="0" fontId="6" fillId="0" borderId="49" xfId="0" applyFont="1" applyBorder="1"/>
    <xf numFmtId="0" fontId="6" fillId="0" borderId="50" xfId="0" applyFont="1" applyBorder="1"/>
    <xf numFmtId="0" fontId="24" fillId="0" borderId="1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center" vertical="center" wrapText="1"/>
    </xf>
    <xf numFmtId="0" fontId="5" fillId="3" borderId="51" xfId="0" applyFont="1" applyFill="1" applyBorder="1" applyAlignment="1">
      <alignment horizontal="left" vertical="center" wrapText="1"/>
    </xf>
    <xf numFmtId="0" fontId="16" fillId="3" borderId="52" xfId="0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6" fillId="0" borderId="54" xfId="0" applyFont="1" applyBorder="1"/>
    <xf numFmtId="0" fontId="16" fillId="3" borderId="50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wrapText="1"/>
    </xf>
    <xf numFmtId="0" fontId="6" fillId="0" borderId="42" xfId="0" applyFont="1" applyBorder="1" applyAlignment="1">
      <alignment wrapText="1"/>
    </xf>
    <xf numFmtId="0" fontId="23" fillId="3" borderId="2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23" fillId="3" borderId="53" xfId="0" applyFont="1" applyFill="1" applyBorder="1" applyAlignment="1">
      <alignment horizontal="center" vertical="center" wrapText="1"/>
    </xf>
    <xf numFmtId="0" fontId="23" fillId="3" borderId="53" xfId="0" applyFont="1" applyFill="1" applyBorder="1" applyAlignment="1">
      <alignment horizontal="left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left" vertical="center" wrapText="1"/>
    </xf>
    <xf numFmtId="0" fontId="16" fillId="3" borderId="21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 wrapText="1"/>
    </xf>
    <xf numFmtId="0" fontId="23" fillId="3" borderId="17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left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55" xfId="0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8"/>
  <sheetViews>
    <sheetView zoomScale="80" zoomScaleNormal="80" workbookViewId="0">
      <selection activeCell="E6" sqref="E6"/>
    </sheetView>
  </sheetViews>
  <sheetFormatPr baseColWidth="10" defaultColWidth="12.6328125" defaultRowHeight="15" customHeight="1" x14ac:dyDescent="0.25"/>
  <cols>
    <col min="1" max="1" width="7" customWidth="1"/>
    <col min="2" max="2" width="30.08984375" bestFit="1" customWidth="1"/>
    <col min="3" max="3" width="45.6328125" customWidth="1"/>
    <col min="4" max="4" width="34.453125" customWidth="1"/>
    <col min="5" max="5" width="26.6328125" customWidth="1"/>
    <col min="6" max="6" width="30.90625" customWidth="1"/>
  </cols>
  <sheetData>
    <row r="1" spans="1:11" ht="38.25" customHeight="1" x14ac:dyDescent="0.25">
      <c r="A1" s="35" t="s">
        <v>0</v>
      </c>
      <c r="B1" s="36"/>
      <c r="C1" s="36"/>
      <c r="D1" s="36"/>
      <c r="E1" s="36"/>
      <c r="F1" s="36"/>
      <c r="G1" s="1"/>
      <c r="H1" s="1"/>
      <c r="I1" s="1"/>
      <c r="J1" s="1"/>
      <c r="K1" s="1"/>
    </row>
    <row r="2" spans="1:11" ht="36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11" ht="30" customHeight="1" x14ac:dyDescent="0.25">
      <c r="A3" s="37"/>
      <c r="B3" s="38"/>
      <c r="C3" s="39"/>
      <c r="D3" s="6" t="s">
        <v>7</v>
      </c>
      <c r="E3" s="6" t="s">
        <v>7</v>
      </c>
      <c r="F3" s="6" t="s">
        <v>7</v>
      </c>
    </row>
    <row r="4" spans="1:11" ht="30" customHeight="1" x14ac:dyDescent="0.25">
      <c r="A4" s="7">
        <v>1</v>
      </c>
      <c r="B4" s="8" t="s">
        <v>8</v>
      </c>
      <c r="C4" s="9" t="s">
        <v>68</v>
      </c>
      <c r="D4" s="9" t="s">
        <v>101</v>
      </c>
      <c r="E4" s="9" t="s">
        <v>69</v>
      </c>
      <c r="F4" s="9" t="s">
        <v>70</v>
      </c>
    </row>
    <row r="5" spans="1:11" ht="30" customHeight="1" x14ac:dyDescent="0.25">
      <c r="A5" s="7">
        <f t="shared" ref="A5:A21" si="0">A4+1</f>
        <v>2</v>
      </c>
      <c r="B5" s="8" t="s">
        <v>9</v>
      </c>
      <c r="C5" s="9" t="s">
        <v>71</v>
      </c>
      <c r="D5" s="9" t="s">
        <v>9</v>
      </c>
      <c r="E5" s="9" t="s">
        <v>52</v>
      </c>
      <c r="F5" s="9" t="s">
        <v>53</v>
      </c>
    </row>
    <row r="6" spans="1:11" ht="30" customHeight="1" x14ac:dyDescent="0.25">
      <c r="A6" s="7">
        <f t="shared" si="0"/>
        <v>3</v>
      </c>
      <c r="B6" s="8" t="s">
        <v>10</v>
      </c>
      <c r="C6" s="9" t="s">
        <v>72</v>
      </c>
      <c r="D6" s="9" t="s">
        <v>54</v>
      </c>
      <c r="E6" s="9" t="s">
        <v>55</v>
      </c>
      <c r="F6" s="9" t="s">
        <v>55</v>
      </c>
    </row>
    <row r="7" spans="1:11" ht="30" customHeight="1" x14ac:dyDescent="0.25">
      <c r="A7" s="7">
        <f t="shared" si="0"/>
        <v>4</v>
      </c>
      <c r="B7" s="8" t="s">
        <v>11</v>
      </c>
      <c r="C7" s="9" t="s">
        <v>73</v>
      </c>
      <c r="D7" s="9" t="s">
        <v>74</v>
      </c>
      <c r="E7" s="9" t="s">
        <v>56</v>
      </c>
      <c r="F7" s="9" t="s">
        <v>56</v>
      </c>
    </row>
    <row r="8" spans="1:11" ht="30" customHeight="1" x14ac:dyDescent="0.25">
      <c r="A8" s="7">
        <f t="shared" si="0"/>
        <v>5</v>
      </c>
      <c r="B8" s="8" t="s">
        <v>12</v>
      </c>
      <c r="C8" s="9" t="s">
        <v>75</v>
      </c>
      <c r="D8" s="9" t="s">
        <v>57</v>
      </c>
      <c r="E8" s="9" t="s">
        <v>58</v>
      </c>
      <c r="F8" s="9" t="s">
        <v>59</v>
      </c>
    </row>
    <row r="9" spans="1:11" ht="30" customHeight="1" x14ac:dyDescent="0.25">
      <c r="A9" s="7">
        <f t="shared" si="0"/>
        <v>6</v>
      </c>
      <c r="B9" s="8" t="s">
        <v>13</v>
      </c>
      <c r="C9" s="9" t="s">
        <v>76</v>
      </c>
      <c r="D9" s="9" t="s">
        <v>60</v>
      </c>
      <c r="E9" s="9" t="s">
        <v>61</v>
      </c>
      <c r="F9" s="9" t="s">
        <v>62</v>
      </c>
    </row>
    <row r="10" spans="1:11" ht="30" customHeight="1" x14ac:dyDescent="0.25">
      <c r="A10" s="7">
        <f t="shared" si="0"/>
        <v>7</v>
      </c>
      <c r="B10" s="8" t="s">
        <v>14</v>
      </c>
      <c r="C10" s="9" t="s">
        <v>77</v>
      </c>
      <c r="D10" s="9" t="s">
        <v>63</v>
      </c>
      <c r="E10" s="9" t="s">
        <v>63</v>
      </c>
      <c r="F10" s="9" t="s">
        <v>63</v>
      </c>
    </row>
    <row r="11" spans="1:11" ht="30" customHeight="1" x14ac:dyDescent="0.25">
      <c r="A11" s="7">
        <f t="shared" si="0"/>
        <v>8</v>
      </c>
      <c r="B11" s="8" t="s">
        <v>15</v>
      </c>
      <c r="C11" s="9" t="s">
        <v>78</v>
      </c>
      <c r="D11" s="9" t="s">
        <v>64</v>
      </c>
      <c r="E11" s="9" t="s">
        <v>64</v>
      </c>
      <c r="F11" s="9" t="s">
        <v>64</v>
      </c>
    </row>
    <row r="12" spans="1:11" ht="30" customHeight="1" x14ac:dyDescent="0.25">
      <c r="A12" s="7">
        <f t="shared" si="0"/>
        <v>9</v>
      </c>
      <c r="B12" s="8" t="s">
        <v>16</v>
      </c>
      <c r="C12" s="9" t="s">
        <v>79</v>
      </c>
      <c r="D12" s="9" t="s">
        <v>65</v>
      </c>
      <c r="E12" s="9" t="s">
        <v>66</v>
      </c>
      <c r="F12" s="9" t="s">
        <v>67</v>
      </c>
    </row>
    <row r="13" spans="1:11" ht="30" customHeight="1" x14ac:dyDescent="0.25">
      <c r="A13" s="7">
        <f t="shared" si="0"/>
        <v>10</v>
      </c>
      <c r="B13" s="8" t="s">
        <v>17</v>
      </c>
      <c r="C13" s="9" t="s">
        <v>80</v>
      </c>
      <c r="D13" s="9" t="s">
        <v>81</v>
      </c>
      <c r="E13" s="9" t="s">
        <v>81</v>
      </c>
      <c r="F13" s="9" t="s">
        <v>81</v>
      </c>
    </row>
    <row r="14" spans="1:11" ht="30" customHeight="1" x14ac:dyDescent="0.25">
      <c r="A14" s="7">
        <f t="shared" si="0"/>
        <v>11</v>
      </c>
      <c r="B14" s="8" t="s">
        <v>18</v>
      </c>
      <c r="C14" s="10" t="s">
        <v>82</v>
      </c>
      <c r="D14" s="10" t="s">
        <v>83</v>
      </c>
      <c r="E14" s="10" t="s">
        <v>83</v>
      </c>
      <c r="F14" s="10" t="s">
        <v>84</v>
      </c>
    </row>
    <row r="15" spans="1:11" ht="30" customHeight="1" x14ac:dyDescent="0.25">
      <c r="A15" s="7">
        <f t="shared" si="0"/>
        <v>12</v>
      </c>
      <c r="B15" s="8" t="s">
        <v>19</v>
      </c>
      <c r="C15" s="10" t="s">
        <v>85</v>
      </c>
      <c r="D15" s="10" t="s">
        <v>86</v>
      </c>
      <c r="E15" s="10" t="s">
        <v>87</v>
      </c>
      <c r="F15" s="10" t="s">
        <v>88</v>
      </c>
    </row>
    <row r="16" spans="1:11" ht="30" customHeight="1" x14ac:dyDescent="0.25">
      <c r="A16" s="7">
        <f t="shared" si="0"/>
        <v>13</v>
      </c>
      <c r="B16" s="8" t="s">
        <v>20</v>
      </c>
      <c r="C16" s="10" t="s">
        <v>89</v>
      </c>
      <c r="D16" s="10" t="s">
        <v>90</v>
      </c>
      <c r="E16" s="10" t="s">
        <v>90</v>
      </c>
      <c r="F16" s="10" t="s">
        <v>91</v>
      </c>
    </row>
    <row r="17" spans="1:6" ht="30" customHeight="1" x14ac:dyDescent="0.25">
      <c r="A17" s="7">
        <f t="shared" si="0"/>
        <v>14</v>
      </c>
      <c r="B17" s="8" t="s">
        <v>21</v>
      </c>
      <c r="C17" s="10" t="s">
        <v>92</v>
      </c>
      <c r="D17" s="10" t="s">
        <v>93</v>
      </c>
      <c r="E17" s="10" t="s">
        <v>94</v>
      </c>
      <c r="F17" s="10" t="s">
        <v>95</v>
      </c>
    </row>
    <row r="18" spans="1:6" ht="27.75" customHeight="1" x14ac:dyDescent="0.25">
      <c r="A18" s="7">
        <f t="shared" si="0"/>
        <v>15</v>
      </c>
      <c r="B18" s="8" t="s">
        <v>22</v>
      </c>
      <c r="C18" s="10" t="s">
        <v>96</v>
      </c>
      <c r="D18" s="10" t="s">
        <v>22</v>
      </c>
      <c r="E18" s="10" t="s">
        <v>22</v>
      </c>
      <c r="F18" s="10" t="s">
        <v>62</v>
      </c>
    </row>
    <row r="19" spans="1:6" ht="27.75" customHeight="1" x14ac:dyDescent="0.25">
      <c r="A19" s="7">
        <f t="shared" si="0"/>
        <v>16</v>
      </c>
      <c r="B19" s="8" t="s">
        <v>23</v>
      </c>
      <c r="C19" s="10" t="s">
        <v>97</v>
      </c>
      <c r="D19" s="10" t="s">
        <v>23</v>
      </c>
      <c r="E19" s="10" t="s">
        <v>102</v>
      </c>
      <c r="F19" s="10" t="s">
        <v>103</v>
      </c>
    </row>
    <row r="20" spans="1:6" ht="27.75" customHeight="1" x14ac:dyDescent="0.25">
      <c r="A20" s="7">
        <f t="shared" si="0"/>
        <v>17</v>
      </c>
      <c r="B20" s="8" t="s">
        <v>24</v>
      </c>
      <c r="C20" s="10" t="s">
        <v>98</v>
      </c>
      <c r="D20" s="10" t="s">
        <v>93</v>
      </c>
      <c r="E20" s="10" t="s">
        <v>99</v>
      </c>
      <c r="F20" s="10" t="s">
        <v>95</v>
      </c>
    </row>
    <row r="21" spans="1:6" ht="27.75" customHeight="1" x14ac:dyDescent="0.25">
      <c r="A21" s="7">
        <f t="shared" si="0"/>
        <v>18</v>
      </c>
      <c r="B21" s="8" t="s">
        <v>25</v>
      </c>
      <c r="C21" s="10" t="s">
        <v>100</v>
      </c>
      <c r="D21" s="10" t="s">
        <v>93</v>
      </c>
      <c r="E21" s="10" t="s">
        <v>99</v>
      </c>
      <c r="F21" s="10" t="s">
        <v>95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">
    <mergeCell ref="A1:F1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topLeftCell="A3" zoomScale="80" zoomScaleNormal="80" workbookViewId="0">
      <selection activeCell="B10" sqref="B10"/>
    </sheetView>
  </sheetViews>
  <sheetFormatPr baseColWidth="10" defaultColWidth="12.6328125" defaultRowHeight="15" customHeight="1" x14ac:dyDescent="0.25"/>
  <cols>
    <col min="1" max="1" width="7" customWidth="1"/>
    <col min="2" max="2" width="37.36328125" customWidth="1"/>
    <col min="3" max="3" width="71.90625" customWidth="1"/>
    <col min="4" max="4" width="58.6328125" customWidth="1"/>
  </cols>
  <sheetData>
    <row r="1" spans="1:9" ht="28.5" customHeight="1" x14ac:dyDescent="0.25">
      <c r="A1" s="40" t="s">
        <v>26</v>
      </c>
      <c r="B1" s="36"/>
      <c r="C1" s="36"/>
      <c r="D1" s="36"/>
      <c r="E1" s="1"/>
      <c r="F1" s="1"/>
      <c r="G1" s="1"/>
      <c r="H1" s="1"/>
      <c r="I1" s="1"/>
    </row>
    <row r="2" spans="1:9" ht="69" customHeight="1" x14ac:dyDescent="0.25">
      <c r="A2" s="41" t="s">
        <v>27</v>
      </c>
      <c r="B2" s="36"/>
      <c r="C2" s="36"/>
      <c r="D2" s="36"/>
      <c r="E2" s="1"/>
      <c r="F2" s="1"/>
      <c r="G2" s="1"/>
      <c r="H2" s="1"/>
      <c r="I2" s="1"/>
    </row>
    <row r="3" spans="1:9" ht="36" customHeight="1" x14ac:dyDescent="0.25">
      <c r="A3" s="11" t="s">
        <v>1</v>
      </c>
      <c r="B3" s="11" t="s">
        <v>28</v>
      </c>
      <c r="C3" s="2" t="s">
        <v>29</v>
      </c>
      <c r="D3" s="2" t="s">
        <v>30</v>
      </c>
    </row>
    <row r="4" spans="1:9" ht="37.5" customHeight="1" x14ac:dyDescent="0.25">
      <c r="A4" s="7">
        <v>1</v>
      </c>
      <c r="B4" s="12" t="s">
        <v>125</v>
      </c>
      <c r="C4" s="12" t="s">
        <v>126</v>
      </c>
      <c r="D4" s="12"/>
    </row>
    <row r="5" spans="1:9" ht="37.5" customHeight="1" x14ac:dyDescent="0.25">
      <c r="A5" s="7">
        <f t="shared" ref="A5:A28" si="0">A4+1</f>
        <v>2</v>
      </c>
      <c r="B5" s="12" t="s">
        <v>127</v>
      </c>
      <c r="C5" s="12" t="s">
        <v>128</v>
      </c>
      <c r="D5" s="12"/>
    </row>
    <row r="6" spans="1:9" ht="37.5" customHeight="1" x14ac:dyDescent="0.25">
      <c r="A6" s="7">
        <f t="shared" si="0"/>
        <v>3</v>
      </c>
      <c r="B6" s="102" t="s">
        <v>129</v>
      </c>
      <c r="C6" s="102" t="s">
        <v>130</v>
      </c>
      <c r="D6" s="12"/>
    </row>
    <row r="7" spans="1:9" ht="37.5" customHeight="1" x14ac:dyDescent="0.25">
      <c r="A7" s="7">
        <f t="shared" si="0"/>
        <v>4</v>
      </c>
      <c r="B7" s="102" t="s">
        <v>131</v>
      </c>
      <c r="C7" s="102" t="s">
        <v>132</v>
      </c>
      <c r="D7" s="12"/>
    </row>
    <row r="8" spans="1:9" ht="37.5" customHeight="1" x14ac:dyDescent="0.25">
      <c r="A8" s="7">
        <f t="shared" si="0"/>
        <v>5</v>
      </c>
      <c r="B8" s="102" t="s">
        <v>133</v>
      </c>
      <c r="C8" s="102" t="s">
        <v>134</v>
      </c>
      <c r="D8" s="12"/>
    </row>
    <row r="9" spans="1:9" ht="37.5" customHeight="1" x14ac:dyDescent="0.25">
      <c r="A9" s="7">
        <f t="shared" si="0"/>
        <v>6</v>
      </c>
      <c r="B9" s="102" t="s">
        <v>135</v>
      </c>
      <c r="C9" s="102" t="s">
        <v>136</v>
      </c>
      <c r="D9" s="12"/>
    </row>
    <row r="10" spans="1:9" ht="37.5" customHeight="1" x14ac:dyDescent="0.25">
      <c r="A10" s="7">
        <f t="shared" si="0"/>
        <v>7</v>
      </c>
      <c r="B10" s="12"/>
      <c r="C10" s="12"/>
      <c r="D10" s="12"/>
    </row>
    <row r="11" spans="1:9" ht="37.5" customHeight="1" x14ac:dyDescent="0.25">
      <c r="A11" s="7">
        <f t="shared" si="0"/>
        <v>8</v>
      </c>
      <c r="B11" s="12"/>
      <c r="C11" s="12"/>
      <c r="D11" s="12"/>
    </row>
    <row r="12" spans="1:9" ht="37.5" customHeight="1" x14ac:dyDescent="0.25">
      <c r="A12" s="7">
        <f t="shared" si="0"/>
        <v>9</v>
      </c>
      <c r="B12" s="12"/>
      <c r="C12" s="12"/>
      <c r="D12" s="12"/>
    </row>
    <row r="13" spans="1:9" ht="37.5" customHeight="1" x14ac:dyDescent="0.25">
      <c r="A13" s="7">
        <f t="shared" si="0"/>
        <v>10</v>
      </c>
      <c r="B13" s="12"/>
      <c r="C13" s="12"/>
      <c r="D13" s="12"/>
    </row>
    <row r="14" spans="1:9" ht="37.5" customHeight="1" x14ac:dyDescent="0.25">
      <c r="A14" s="7">
        <f t="shared" si="0"/>
        <v>11</v>
      </c>
      <c r="B14" s="12"/>
      <c r="C14" s="12"/>
      <c r="D14" s="12"/>
    </row>
    <row r="15" spans="1:9" ht="37.5" customHeight="1" x14ac:dyDescent="0.25">
      <c r="A15" s="7">
        <f t="shared" si="0"/>
        <v>12</v>
      </c>
      <c r="B15" s="13"/>
      <c r="C15" s="13"/>
      <c r="D15" s="13"/>
    </row>
    <row r="16" spans="1:9" ht="37.5" customHeight="1" x14ac:dyDescent="0.25">
      <c r="A16" s="7">
        <f t="shared" si="0"/>
        <v>13</v>
      </c>
      <c r="B16" s="13"/>
      <c r="C16" s="13"/>
      <c r="D16" s="13"/>
    </row>
    <row r="17" spans="1:4" ht="37.5" customHeight="1" x14ac:dyDescent="0.25">
      <c r="A17" s="7">
        <f t="shared" si="0"/>
        <v>14</v>
      </c>
      <c r="B17" s="13"/>
      <c r="C17" s="13"/>
      <c r="D17" s="13"/>
    </row>
    <row r="18" spans="1:4" ht="37.5" customHeight="1" x14ac:dyDescent="0.25">
      <c r="A18" s="7">
        <f t="shared" si="0"/>
        <v>15</v>
      </c>
      <c r="B18" s="13"/>
      <c r="C18" s="13"/>
      <c r="D18" s="13"/>
    </row>
    <row r="19" spans="1:4" ht="37.5" customHeight="1" x14ac:dyDescent="0.25">
      <c r="A19" s="7">
        <f t="shared" si="0"/>
        <v>16</v>
      </c>
      <c r="B19" s="13"/>
      <c r="C19" s="13"/>
      <c r="D19" s="13"/>
    </row>
    <row r="20" spans="1:4" ht="37.5" customHeight="1" x14ac:dyDescent="0.25">
      <c r="A20" s="7">
        <f t="shared" si="0"/>
        <v>17</v>
      </c>
      <c r="B20" s="13"/>
      <c r="C20" s="13"/>
      <c r="D20" s="13"/>
    </row>
    <row r="21" spans="1:4" ht="37.5" customHeight="1" x14ac:dyDescent="0.25">
      <c r="A21" s="7">
        <f t="shared" si="0"/>
        <v>18</v>
      </c>
      <c r="B21" s="13"/>
      <c r="C21" s="13"/>
      <c r="D21" s="13"/>
    </row>
    <row r="22" spans="1:4" ht="37.5" customHeight="1" x14ac:dyDescent="0.25">
      <c r="A22" s="7">
        <f t="shared" si="0"/>
        <v>19</v>
      </c>
      <c r="B22" s="13"/>
      <c r="C22" s="13"/>
      <c r="D22" s="13"/>
    </row>
    <row r="23" spans="1:4" ht="37.5" customHeight="1" x14ac:dyDescent="0.25">
      <c r="A23" s="7">
        <f t="shared" si="0"/>
        <v>20</v>
      </c>
      <c r="B23" s="13"/>
      <c r="C23" s="13"/>
      <c r="D23" s="13"/>
    </row>
    <row r="24" spans="1:4" ht="37.5" customHeight="1" x14ac:dyDescent="0.25">
      <c r="A24" s="7">
        <f t="shared" si="0"/>
        <v>21</v>
      </c>
      <c r="B24" s="13"/>
      <c r="C24" s="13"/>
      <c r="D24" s="13"/>
    </row>
    <row r="25" spans="1:4" ht="37.5" customHeight="1" x14ac:dyDescent="0.25">
      <c r="A25" s="7">
        <f t="shared" si="0"/>
        <v>22</v>
      </c>
      <c r="B25" s="13"/>
      <c r="C25" s="13"/>
      <c r="D25" s="13"/>
    </row>
    <row r="26" spans="1:4" ht="37.5" customHeight="1" x14ac:dyDescent="0.25">
      <c r="A26" s="7">
        <f t="shared" si="0"/>
        <v>23</v>
      </c>
      <c r="B26" s="13"/>
      <c r="C26" s="13"/>
      <c r="D26" s="13"/>
    </row>
    <row r="27" spans="1:4" ht="37.5" customHeight="1" x14ac:dyDescent="0.25">
      <c r="A27" s="7">
        <f t="shared" si="0"/>
        <v>24</v>
      </c>
      <c r="B27" s="13"/>
      <c r="C27" s="13"/>
      <c r="D27" s="13"/>
    </row>
    <row r="28" spans="1:4" ht="37.5" customHeight="1" x14ac:dyDescent="0.25">
      <c r="A28" s="7">
        <f t="shared" si="0"/>
        <v>25</v>
      </c>
      <c r="B28" s="13"/>
      <c r="C28" s="13"/>
      <c r="D28" s="13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61"/>
  <sheetViews>
    <sheetView zoomScale="70" zoomScaleNormal="70" workbookViewId="0">
      <selection activeCell="X48" sqref="X48:Y48"/>
    </sheetView>
  </sheetViews>
  <sheetFormatPr baseColWidth="10" defaultColWidth="12.6328125" defaultRowHeight="15" customHeight="1" x14ac:dyDescent="0.25"/>
  <cols>
    <col min="1" max="1" width="5.6328125" customWidth="1"/>
    <col min="2" max="2" width="33.7265625" customWidth="1"/>
    <col min="3" max="3" width="13.36328125" customWidth="1"/>
    <col min="4" max="5" width="3.90625" customWidth="1"/>
    <col min="6" max="6" width="21.6328125" customWidth="1"/>
    <col min="7" max="9" width="3.90625" customWidth="1"/>
    <col min="10" max="10" width="20.26953125" customWidth="1"/>
    <col min="11" max="17" width="3.90625" customWidth="1"/>
    <col min="18" max="18" width="6.36328125" customWidth="1"/>
    <col min="19" max="21" width="3.90625" customWidth="1"/>
    <col min="22" max="22" width="5.81640625" customWidth="1"/>
    <col min="23" max="23" width="11.7265625" customWidth="1"/>
    <col min="24" max="24" width="17" customWidth="1"/>
    <col min="25" max="25" width="30.36328125" customWidth="1"/>
  </cols>
  <sheetData>
    <row r="1" spans="1:25" ht="39" customHeight="1" x14ac:dyDescent="0.25">
      <c r="A1" s="55" t="s">
        <v>31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8.5" customHeight="1" thickBot="1" x14ac:dyDescent="0.3"/>
    <row r="3" spans="1:25" ht="30" customHeight="1" x14ac:dyDescent="0.25">
      <c r="A3" s="84">
        <f>'Invetario de Tablas'!A4</f>
        <v>1</v>
      </c>
      <c r="B3" s="85" t="s">
        <v>28</v>
      </c>
      <c r="C3" s="86" t="str">
        <f>'Invetario de Tablas'!B4</f>
        <v>USUARIO</v>
      </c>
      <c r="D3" s="87"/>
      <c r="E3" s="87"/>
      <c r="F3" s="88"/>
      <c r="G3" s="89" t="s">
        <v>29</v>
      </c>
      <c r="H3" s="87"/>
      <c r="I3" s="87"/>
      <c r="J3" s="88"/>
      <c r="K3" s="90" t="str">
        <f>'Invetario de Tablas'!C4</f>
        <v>Datos de estudiantes, docentes y perfiles de la red.</v>
      </c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  <c r="X3" s="91" t="s">
        <v>32</v>
      </c>
      <c r="Y3" s="92">
        <v>1</v>
      </c>
    </row>
    <row r="4" spans="1:25" ht="30" customHeight="1" x14ac:dyDescent="0.25">
      <c r="A4" s="93" t="s">
        <v>1</v>
      </c>
      <c r="B4" s="3" t="s">
        <v>33</v>
      </c>
      <c r="C4" s="44" t="s">
        <v>34</v>
      </c>
      <c r="D4" s="38"/>
      <c r="E4" s="38"/>
      <c r="F4" s="39"/>
      <c r="G4" s="44" t="s">
        <v>35</v>
      </c>
      <c r="H4" s="38"/>
      <c r="I4" s="38"/>
      <c r="J4" s="39"/>
      <c r="K4" s="44" t="s">
        <v>36</v>
      </c>
      <c r="L4" s="38"/>
      <c r="M4" s="38"/>
      <c r="N4" s="39"/>
      <c r="O4" s="44" t="s">
        <v>37</v>
      </c>
      <c r="P4" s="38"/>
      <c r="Q4" s="39"/>
      <c r="R4" s="44" t="s">
        <v>38</v>
      </c>
      <c r="S4" s="39"/>
      <c r="T4" s="44" t="s">
        <v>39</v>
      </c>
      <c r="U4" s="39"/>
      <c r="V4" s="44" t="s">
        <v>40</v>
      </c>
      <c r="W4" s="39"/>
      <c r="X4" s="44" t="s">
        <v>41</v>
      </c>
      <c r="Y4" s="94"/>
    </row>
    <row r="5" spans="1:25" ht="30" customHeight="1" thickBot="1" x14ac:dyDescent="0.3">
      <c r="A5" s="95">
        <v>1</v>
      </c>
      <c r="B5" s="16" t="s">
        <v>104</v>
      </c>
      <c r="C5" s="79" t="s">
        <v>105</v>
      </c>
      <c r="D5" s="80"/>
      <c r="E5" s="80"/>
      <c r="F5" s="81"/>
      <c r="G5" s="79" t="s">
        <v>51</v>
      </c>
      <c r="H5" s="80" t="s">
        <v>51</v>
      </c>
      <c r="I5" s="80" t="s">
        <v>51</v>
      </c>
      <c r="J5" s="81" t="s">
        <v>51</v>
      </c>
      <c r="K5" s="42"/>
      <c r="L5" s="38"/>
      <c r="M5" s="38"/>
      <c r="N5" s="39"/>
      <c r="O5" s="79" t="s">
        <v>106</v>
      </c>
      <c r="P5" s="80" t="s">
        <v>106</v>
      </c>
      <c r="Q5" s="80" t="s">
        <v>106</v>
      </c>
      <c r="R5" s="82" t="s">
        <v>107</v>
      </c>
      <c r="S5" s="78"/>
      <c r="T5" s="42"/>
      <c r="U5" s="39"/>
      <c r="V5" s="42"/>
      <c r="W5" s="39"/>
      <c r="X5" s="79" t="s">
        <v>108</v>
      </c>
      <c r="Y5" s="97" t="s">
        <v>108</v>
      </c>
    </row>
    <row r="6" spans="1:25" ht="30" customHeight="1" x14ac:dyDescent="0.25">
      <c r="A6" s="95">
        <v>2</v>
      </c>
      <c r="B6" s="16" t="s">
        <v>109</v>
      </c>
      <c r="C6" s="79" t="s">
        <v>110</v>
      </c>
      <c r="D6" s="80" t="s">
        <v>110</v>
      </c>
      <c r="E6" s="80" t="s">
        <v>110</v>
      </c>
      <c r="F6" s="81" t="s">
        <v>110</v>
      </c>
      <c r="G6" s="79" t="s">
        <v>111</v>
      </c>
      <c r="H6" s="80" t="s">
        <v>111</v>
      </c>
      <c r="I6" s="80" t="s">
        <v>111</v>
      </c>
      <c r="J6" s="81" t="s">
        <v>111</v>
      </c>
      <c r="K6" s="42"/>
      <c r="L6" s="38"/>
      <c r="M6" s="38"/>
      <c r="N6" s="39"/>
      <c r="O6" s="79" t="s">
        <v>106</v>
      </c>
      <c r="P6" s="80" t="s">
        <v>106</v>
      </c>
      <c r="Q6" s="80" t="s">
        <v>106</v>
      </c>
      <c r="R6" s="42"/>
      <c r="S6" s="78"/>
      <c r="T6" s="42"/>
      <c r="U6" s="39"/>
      <c r="V6" s="42"/>
      <c r="W6" s="39"/>
      <c r="X6" s="83"/>
      <c r="Y6" s="96"/>
    </row>
    <row r="7" spans="1:25" ht="30" customHeight="1" x14ac:dyDescent="0.25">
      <c r="A7" s="95">
        <v>3</v>
      </c>
      <c r="B7" s="16" t="s">
        <v>112</v>
      </c>
      <c r="C7" s="79" t="s">
        <v>113</v>
      </c>
      <c r="D7" s="80" t="s">
        <v>113</v>
      </c>
      <c r="E7" s="80" t="s">
        <v>113</v>
      </c>
      <c r="F7" s="81" t="s">
        <v>113</v>
      </c>
      <c r="G7" s="79" t="s">
        <v>111</v>
      </c>
      <c r="H7" s="80" t="s">
        <v>111</v>
      </c>
      <c r="I7" s="80" t="s">
        <v>111</v>
      </c>
      <c r="J7" s="81" t="s">
        <v>111</v>
      </c>
      <c r="K7" s="42"/>
      <c r="L7" s="38"/>
      <c r="M7" s="38"/>
      <c r="N7" s="39"/>
      <c r="O7" s="79" t="s">
        <v>106</v>
      </c>
      <c r="P7" s="80" t="s">
        <v>106</v>
      </c>
      <c r="Q7" s="80" t="s">
        <v>106</v>
      </c>
      <c r="R7" s="42"/>
      <c r="S7" s="78"/>
      <c r="T7" s="42"/>
      <c r="U7" s="39"/>
      <c r="V7" s="82" t="s">
        <v>107</v>
      </c>
      <c r="W7" s="39"/>
      <c r="X7" s="79" t="s">
        <v>114</v>
      </c>
      <c r="Y7" s="97" t="s">
        <v>114</v>
      </c>
    </row>
    <row r="8" spans="1:25" ht="30" customHeight="1" x14ac:dyDescent="0.25">
      <c r="A8" s="95">
        <v>4</v>
      </c>
      <c r="B8" s="16" t="s">
        <v>115</v>
      </c>
      <c r="C8" s="79" t="s">
        <v>116</v>
      </c>
      <c r="D8" s="80" t="s">
        <v>116</v>
      </c>
      <c r="E8" s="80" t="s">
        <v>116</v>
      </c>
      <c r="F8" s="81" t="s">
        <v>116</v>
      </c>
      <c r="G8" s="79" t="s">
        <v>54</v>
      </c>
      <c r="H8" s="80" t="s">
        <v>54</v>
      </c>
      <c r="I8" s="80" t="s">
        <v>54</v>
      </c>
      <c r="J8" s="81" t="s">
        <v>54</v>
      </c>
      <c r="K8" s="42"/>
      <c r="L8" s="38"/>
      <c r="M8" s="38"/>
      <c r="N8" s="39"/>
      <c r="O8" s="79" t="s">
        <v>106</v>
      </c>
      <c r="P8" s="80" t="s">
        <v>106</v>
      </c>
      <c r="Q8" s="80" t="s">
        <v>106</v>
      </c>
      <c r="R8" s="42"/>
      <c r="S8" s="78"/>
      <c r="T8" s="82" t="s">
        <v>107</v>
      </c>
      <c r="U8" s="39"/>
      <c r="V8" s="42"/>
      <c r="W8" s="39"/>
      <c r="X8" s="79" t="s">
        <v>117</v>
      </c>
      <c r="Y8" s="97" t="s">
        <v>117</v>
      </c>
    </row>
    <row r="9" spans="1:25" ht="30" customHeight="1" x14ac:dyDescent="0.25">
      <c r="A9" s="95">
        <v>5</v>
      </c>
      <c r="B9" s="16" t="s">
        <v>118</v>
      </c>
      <c r="C9" s="79" t="s">
        <v>119</v>
      </c>
      <c r="D9" s="80" t="s">
        <v>119</v>
      </c>
      <c r="E9" s="80" t="s">
        <v>119</v>
      </c>
      <c r="F9" s="81" t="s">
        <v>119</v>
      </c>
      <c r="G9" s="79" t="s">
        <v>65</v>
      </c>
      <c r="H9" s="80" t="s">
        <v>65</v>
      </c>
      <c r="I9" s="80" t="s">
        <v>65</v>
      </c>
      <c r="J9" s="81" t="s">
        <v>65</v>
      </c>
      <c r="K9" s="42"/>
      <c r="L9" s="38"/>
      <c r="M9" s="38"/>
      <c r="N9" s="39"/>
      <c r="O9" s="79" t="s">
        <v>106</v>
      </c>
      <c r="P9" s="80" t="s">
        <v>106</v>
      </c>
      <c r="Q9" s="80" t="s">
        <v>106</v>
      </c>
      <c r="R9" s="42"/>
      <c r="S9" s="78"/>
      <c r="T9" s="42"/>
      <c r="U9" s="39"/>
      <c r="V9" s="42"/>
      <c r="W9" s="39"/>
      <c r="X9" s="79" t="s">
        <v>120</v>
      </c>
      <c r="Y9" s="97" t="s">
        <v>120</v>
      </c>
    </row>
    <row r="10" spans="1:25" ht="30" customHeight="1" x14ac:dyDescent="0.25">
      <c r="A10" s="98">
        <v>6</v>
      </c>
      <c r="B10" s="16" t="s">
        <v>121</v>
      </c>
      <c r="C10" s="79" t="s">
        <v>122</v>
      </c>
      <c r="D10" s="80" t="s">
        <v>122</v>
      </c>
      <c r="E10" s="80" t="s">
        <v>122</v>
      </c>
      <c r="F10" s="81" t="s">
        <v>122</v>
      </c>
      <c r="G10" s="79" t="s">
        <v>23</v>
      </c>
      <c r="H10" s="80" t="s">
        <v>23</v>
      </c>
      <c r="I10" s="80" t="s">
        <v>23</v>
      </c>
      <c r="J10" s="81" t="s">
        <v>23</v>
      </c>
      <c r="K10" s="42"/>
      <c r="L10" s="38"/>
      <c r="M10" s="38"/>
      <c r="N10" s="39"/>
      <c r="O10" s="79" t="s">
        <v>123</v>
      </c>
      <c r="P10" s="80" t="s">
        <v>123</v>
      </c>
      <c r="Q10" s="80" t="s">
        <v>123</v>
      </c>
      <c r="R10" s="42"/>
      <c r="S10" s="78"/>
      <c r="T10" s="42"/>
      <c r="U10" s="39"/>
      <c r="V10" s="42"/>
      <c r="W10" s="39"/>
      <c r="X10" s="79" t="s">
        <v>124</v>
      </c>
      <c r="Y10" s="97" t="s">
        <v>124</v>
      </c>
    </row>
    <row r="11" spans="1:25" ht="28.5" customHeight="1" thickBot="1" x14ac:dyDescent="0.3">
      <c r="A11" s="99" t="s">
        <v>42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1"/>
    </row>
    <row r="12" spans="1:25" ht="36" customHeight="1" thickBot="1" x14ac:dyDescent="0.3"/>
    <row r="13" spans="1:25" ht="30" customHeight="1" x14ac:dyDescent="0.25">
      <c r="A13" s="84">
        <f>'Invetario de Tablas'!A5</f>
        <v>2</v>
      </c>
      <c r="B13" s="85" t="s">
        <v>28</v>
      </c>
      <c r="C13" s="86" t="str">
        <f>'Invetario de Tablas'!B5</f>
        <v>PUBLICACION</v>
      </c>
      <c r="D13" s="87"/>
      <c r="E13" s="87"/>
      <c r="F13" s="88"/>
      <c r="G13" s="89" t="s">
        <v>29</v>
      </c>
      <c r="H13" s="87"/>
      <c r="I13" s="87"/>
      <c r="J13" s="88"/>
      <c r="K13" s="90" t="str">
        <f>'Invetario de Tablas'!C5</f>
        <v>Contenido compartido por los usuarios.</v>
      </c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8"/>
      <c r="X13" s="91" t="s">
        <v>32</v>
      </c>
      <c r="Y13" s="92">
        <v>1</v>
      </c>
    </row>
    <row r="14" spans="1:25" ht="30" customHeight="1" x14ac:dyDescent="0.25">
      <c r="A14" s="93" t="s">
        <v>1</v>
      </c>
      <c r="B14" s="3" t="s">
        <v>33</v>
      </c>
      <c r="C14" s="44" t="s">
        <v>34</v>
      </c>
      <c r="D14" s="38"/>
      <c r="E14" s="38"/>
      <c r="F14" s="39"/>
      <c r="G14" s="44" t="s">
        <v>35</v>
      </c>
      <c r="H14" s="38"/>
      <c r="I14" s="38"/>
      <c r="J14" s="39"/>
      <c r="K14" s="44" t="s">
        <v>36</v>
      </c>
      <c r="L14" s="38"/>
      <c r="M14" s="38"/>
      <c r="N14" s="39"/>
      <c r="O14" s="44" t="s">
        <v>37</v>
      </c>
      <c r="P14" s="38"/>
      <c r="Q14" s="39"/>
      <c r="R14" s="44" t="s">
        <v>38</v>
      </c>
      <c r="S14" s="39"/>
      <c r="T14" s="44" t="s">
        <v>39</v>
      </c>
      <c r="U14" s="39"/>
      <c r="V14" s="44" t="s">
        <v>40</v>
      </c>
      <c r="W14" s="39"/>
      <c r="X14" s="44" t="s">
        <v>41</v>
      </c>
      <c r="Y14" s="94"/>
    </row>
    <row r="15" spans="1:25" ht="30" customHeight="1" x14ac:dyDescent="0.25">
      <c r="A15" s="103">
        <v>1</v>
      </c>
      <c r="B15" s="16" t="s">
        <v>137</v>
      </c>
      <c r="C15" s="79" t="s">
        <v>138</v>
      </c>
      <c r="D15" s="80"/>
      <c r="E15" s="80"/>
      <c r="F15" s="81"/>
      <c r="G15" s="79" t="s">
        <v>51</v>
      </c>
      <c r="H15" s="80" t="s">
        <v>51</v>
      </c>
      <c r="I15" s="80" t="s">
        <v>51</v>
      </c>
      <c r="J15" s="81" t="s">
        <v>51</v>
      </c>
      <c r="K15" s="42"/>
      <c r="L15" s="38"/>
      <c r="M15" s="38"/>
      <c r="N15" s="39"/>
      <c r="O15" s="79" t="s">
        <v>106</v>
      </c>
      <c r="P15" s="80" t="s">
        <v>106</v>
      </c>
      <c r="Q15" s="80" t="s">
        <v>106</v>
      </c>
      <c r="R15" s="82" t="s">
        <v>107</v>
      </c>
      <c r="S15" s="39"/>
      <c r="T15" s="42"/>
      <c r="U15" s="39"/>
      <c r="V15" s="42"/>
      <c r="W15" s="39"/>
      <c r="X15" s="79"/>
      <c r="Y15" s="97"/>
    </row>
    <row r="16" spans="1:25" ht="30" customHeight="1" x14ac:dyDescent="0.25">
      <c r="A16" s="103">
        <v>2</v>
      </c>
      <c r="B16" s="16" t="s">
        <v>104</v>
      </c>
      <c r="C16" s="79" t="s">
        <v>139</v>
      </c>
      <c r="D16" s="80" t="s">
        <v>139</v>
      </c>
      <c r="E16" s="80" t="s">
        <v>139</v>
      </c>
      <c r="F16" s="81" t="s">
        <v>139</v>
      </c>
      <c r="G16" s="79" t="s">
        <v>54</v>
      </c>
      <c r="H16" s="80" t="s">
        <v>54</v>
      </c>
      <c r="I16" s="80" t="s">
        <v>54</v>
      </c>
      <c r="J16" s="81" t="s">
        <v>54</v>
      </c>
      <c r="K16" s="42"/>
      <c r="L16" s="38"/>
      <c r="M16" s="38"/>
      <c r="N16" s="39"/>
      <c r="O16" s="79" t="s">
        <v>106</v>
      </c>
      <c r="P16" s="80" t="s">
        <v>106</v>
      </c>
      <c r="Q16" s="80" t="s">
        <v>106</v>
      </c>
      <c r="R16" s="42"/>
      <c r="S16" s="39"/>
      <c r="T16" s="82" t="s">
        <v>107</v>
      </c>
      <c r="U16" s="39"/>
      <c r="V16" s="42"/>
      <c r="W16" s="39"/>
      <c r="X16" s="79" t="s">
        <v>140</v>
      </c>
      <c r="Y16" s="97" t="s">
        <v>140</v>
      </c>
    </row>
    <row r="17" spans="1:25" ht="30" customHeight="1" x14ac:dyDescent="0.25">
      <c r="A17" s="103">
        <v>3</v>
      </c>
      <c r="B17" s="16" t="s">
        <v>141</v>
      </c>
      <c r="C17" s="79" t="s">
        <v>142</v>
      </c>
      <c r="D17" s="80" t="s">
        <v>142</v>
      </c>
      <c r="E17" s="80" t="s">
        <v>142</v>
      </c>
      <c r="F17" s="81" t="s">
        <v>142</v>
      </c>
      <c r="G17" s="79" t="s">
        <v>60</v>
      </c>
      <c r="H17" s="80" t="s">
        <v>60</v>
      </c>
      <c r="I17" s="80" t="s">
        <v>60</v>
      </c>
      <c r="J17" s="81" t="s">
        <v>60</v>
      </c>
      <c r="K17" s="42"/>
      <c r="L17" s="38"/>
      <c r="M17" s="38"/>
      <c r="N17" s="39"/>
      <c r="O17" s="79" t="s">
        <v>123</v>
      </c>
      <c r="P17" s="80" t="s">
        <v>123</v>
      </c>
      <c r="Q17" s="80" t="s">
        <v>123</v>
      </c>
      <c r="R17" s="42"/>
      <c r="S17" s="39"/>
      <c r="T17" s="42"/>
      <c r="U17" s="39"/>
      <c r="V17" s="42"/>
      <c r="W17" s="39"/>
      <c r="X17" s="79"/>
      <c r="Y17" s="97"/>
    </row>
    <row r="18" spans="1:25" ht="30" customHeight="1" x14ac:dyDescent="0.25">
      <c r="A18" s="103">
        <v>4</v>
      </c>
      <c r="B18" s="16" t="s">
        <v>143</v>
      </c>
      <c r="C18" s="79" t="s">
        <v>144</v>
      </c>
      <c r="D18" s="80" t="s">
        <v>144</v>
      </c>
      <c r="E18" s="80" t="s">
        <v>144</v>
      </c>
      <c r="F18" s="81" t="s">
        <v>144</v>
      </c>
      <c r="G18" s="79" t="s">
        <v>83</v>
      </c>
      <c r="H18" s="80" t="s">
        <v>83</v>
      </c>
      <c r="I18" s="80" t="s">
        <v>83</v>
      </c>
      <c r="J18" s="81" t="s">
        <v>83</v>
      </c>
      <c r="K18" s="42"/>
      <c r="L18" s="38"/>
      <c r="M18" s="38"/>
      <c r="N18" s="39"/>
      <c r="O18" s="79" t="s">
        <v>123</v>
      </c>
      <c r="P18" s="80" t="s">
        <v>123</v>
      </c>
      <c r="Q18" s="80" t="s">
        <v>123</v>
      </c>
      <c r="R18" s="42"/>
      <c r="S18" s="39"/>
      <c r="T18" s="42"/>
      <c r="U18" s="39"/>
      <c r="V18" s="42"/>
      <c r="W18" s="39"/>
      <c r="X18" s="79"/>
      <c r="Y18" s="97"/>
    </row>
    <row r="19" spans="1:25" ht="30" customHeight="1" x14ac:dyDescent="0.25">
      <c r="A19" s="103">
        <v>5</v>
      </c>
      <c r="B19" s="16" t="s">
        <v>145</v>
      </c>
      <c r="C19" s="79" t="s">
        <v>146</v>
      </c>
      <c r="D19" s="80" t="s">
        <v>146</v>
      </c>
      <c r="E19" s="80" t="s">
        <v>146</v>
      </c>
      <c r="F19" s="81" t="s">
        <v>146</v>
      </c>
      <c r="G19" s="79" t="s">
        <v>65</v>
      </c>
      <c r="H19" s="80" t="s">
        <v>65</v>
      </c>
      <c r="I19" s="80" t="s">
        <v>65</v>
      </c>
      <c r="J19" s="81" t="s">
        <v>65</v>
      </c>
      <c r="K19" s="42"/>
      <c r="L19" s="38"/>
      <c r="M19" s="38"/>
      <c r="N19" s="39"/>
      <c r="O19" s="79" t="s">
        <v>106</v>
      </c>
      <c r="P19" s="80" t="s">
        <v>106</v>
      </c>
      <c r="Q19" s="80" t="s">
        <v>106</v>
      </c>
      <c r="R19" s="42"/>
      <c r="S19" s="39"/>
      <c r="T19" s="42"/>
      <c r="U19" s="39"/>
      <c r="V19" s="42"/>
      <c r="W19" s="39"/>
      <c r="X19" s="79"/>
      <c r="Y19" s="97"/>
    </row>
    <row r="20" spans="1:25" ht="30" customHeight="1" thickBot="1" x14ac:dyDescent="0.3">
      <c r="A20" s="104">
        <v>6</v>
      </c>
      <c r="B20" s="105" t="s">
        <v>147</v>
      </c>
      <c r="C20" s="106" t="s">
        <v>148</v>
      </c>
      <c r="D20" s="107" t="s">
        <v>148</v>
      </c>
      <c r="E20" s="107" t="s">
        <v>148</v>
      </c>
      <c r="F20" s="108" t="s">
        <v>148</v>
      </c>
      <c r="G20" s="106" t="s">
        <v>23</v>
      </c>
      <c r="H20" s="107" t="s">
        <v>23</v>
      </c>
      <c r="I20" s="107" t="s">
        <v>23</v>
      </c>
      <c r="J20" s="108" t="s">
        <v>23</v>
      </c>
      <c r="K20" s="109"/>
      <c r="L20" s="100"/>
      <c r="M20" s="100"/>
      <c r="N20" s="110"/>
      <c r="O20" s="106" t="s">
        <v>123</v>
      </c>
      <c r="P20" s="107" t="s">
        <v>123</v>
      </c>
      <c r="Q20" s="107" t="s">
        <v>123</v>
      </c>
      <c r="R20" s="109"/>
      <c r="S20" s="110"/>
      <c r="T20" s="109"/>
      <c r="U20" s="110"/>
      <c r="V20" s="109"/>
      <c r="W20" s="110"/>
      <c r="X20" s="106" t="s">
        <v>149</v>
      </c>
      <c r="Y20" s="111" t="s">
        <v>149</v>
      </c>
    </row>
    <row r="21" spans="1:25" ht="48" customHeigh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40.5" customHeight="1" x14ac:dyDescent="0.25">
      <c r="A22" s="54" t="s">
        <v>43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36" customHeight="1" thickBot="1" x14ac:dyDescent="0.3"/>
    <row r="24" spans="1:25" ht="30" customHeight="1" x14ac:dyDescent="0.25">
      <c r="A24" s="84">
        <f>'Invetario de Tablas'!A6</f>
        <v>3</v>
      </c>
      <c r="B24" s="85" t="s">
        <v>28</v>
      </c>
      <c r="C24" s="86" t="str">
        <f>'Invetario de Tablas'!B6</f>
        <v>GRUPO_ESTUDIO</v>
      </c>
      <c r="D24" s="87"/>
      <c r="E24" s="87"/>
      <c r="F24" s="88"/>
      <c r="G24" s="89" t="s">
        <v>29</v>
      </c>
      <c r="H24" s="87"/>
      <c r="I24" s="87"/>
      <c r="J24" s="88"/>
      <c r="K24" s="90" t="str">
        <f>'Invetario de Tablas'!C6</f>
        <v>Espacios para materias o intereses.</v>
      </c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8"/>
      <c r="X24" s="91" t="s">
        <v>32</v>
      </c>
      <c r="Y24" s="92">
        <v>1</v>
      </c>
    </row>
    <row r="25" spans="1:25" ht="30" customHeight="1" x14ac:dyDescent="0.25">
      <c r="A25" s="93" t="s">
        <v>1</v>
      </c>
      <c r="B25" s="3" t="s">
        <v>33</v>
      </c>
      <c r="C25" s="44" t="s">
        <v>34</v>
      </c>
      <c r="D25" s="38"/>
      <c r="E25" s="38"/>
      <c r="F25" s="39"/>
      <c r="G25" s="44" t="s">
        <v>35</v>
      </c>
      <c r="H25" s="38"/>
      <c r="I25" s="38"/>
      <c r="J25" s="39"/>
      <c r="K25" s="44" t="s">
        <v>36</v>
      </c>
      <c r="L25" s="38"/>
      <c r="M25" s="38"/>
      <c r="N25" s="39"/>
      <c r="O25" s="44" t="s">
        <v>37</v>
      </c>
      <c r="P25" s="38"/>
      <c r="Q25" s="39"/>
      <c r="R25" s="44" t="s">
        <v>38</v>
      </c>
      <c r="S25" s="39"/>
      <c r="T25" s="44" t="s">
        <v>39</v>
      </c>
      <c r="U25" s="39"/>
      <c r="V25" s="44" t="s">
        <v>40</v>
      </c>
      <c r="W25" s="39"/>
      <c r="X25" s="44" t="s">
        <v>41</v>
      </c>
      <c r="Y25" s="94"/>
    </row>
    <row r="26" spans="1:25" ht="30" customHeight="1" x14ac:dyDescent="0.25">
      <c r="A26" s="103">
        <v>1</v>
      </c>
      <c r="B26" s="16" t="s">
        <v>150</v>
      </c>
      <c r="C26" s="79" t="s">
        <v>151</v>
      </c>
      <c r="D26" s="80"/>
      <c r="E26" s="80"/>
      <c r="F26" s="81"/>
      <c r="G26" s="79" t="s">
        <v>51</v>
      </c>
      <c r="H26" s="80" t="s">
        <v>51</v>
      </c>
      <c r="I26" s="80" t="s">
        <v>51</v>
      </c>
      <c r="J26" s="81" t="s">
        <v>51</v>
      </c>
      <c r="K26" s="42"/>
      <c r="L26" s="38"/>
      <c r="M26" s="38"/>
      <c r="N26" s="39"/>
      <c r="O26" s="79" t="s">
        <v>106</v>
      </c>
      <c r="P26" s="80" t="s">
        <v>106</v>
      </c>
      <c r="Q26" s="80" t="s">
        <v>106</v>
      </c>
      <c r="R26" s="82" t="s">
        <v>107</v>
      </c>
      <c r="S26" s="39"/>
      <c r="T26" s="42"/>
      <c r="U26" s="39"/>
      <c r="V26" s="42"/>
      <c r="W26" s="39"/>
      <c r="X26" s="79"/>
      <c r="Y26" s="97"/>
    </row>
    <row r="27" spans="1:25" ht="30" customHeight="1" x14ac:dyDescent="0.25">
      <c r="A27" s="103">
        <v>2</v>
      </c>
      <c r="B27" s="16" t="s">
        <v>152</v>
      </c>
      <c r="C27" s="79" t="s">
        <v>153</v>
      </c>
      <c r="D27" s="80" t="s">
        <v>153</v>
      </c>
      <c r="E27" s="80" t="s">
        <v>153</v>
      </c>
      <c r="F27" s="81" t="s">
        <v>153</v>
      </c>
      <c r="G27" s="114" t="s">
        <v>111</v>
      </c>
      <c r="H27" s="80" t="s">
        <v>54</v>
      </c>
      <c r="I27" s="80" t="s">
        <v>54</v>
      </c>
      <c r="J27" s="81" t="s">
        <v>54</v>
      </c>
      <c r="K27" s="42"/>
      <c r="L27" s="38"/>
      <c r="M27" s="38"/>
      <c r="N27" s="39"/>
      <c r="O27" s="79" t="s">
        <v>106</v>
      </c>
      <c r="P27" s="80" t="s">
        <v>106</v>
      </c>
      <c r="Q27" s="80" t="s">
        <v>106</v>
      </c>
      <c r="R27" s="42"/>
      <c r="S27" s="39"/>
      <c r="T27" s="82"/>
      <c r="U27" s="39"/>
      <c r="V27" s="42"/>
      <c r="W27" s="39"/>
      <c r="X27" s="79"/>
      <c r="Y27" s="97"/>
    </row>
    <row r="28" spans="1:25" ht="30" customHeight="1" x14ac:dyDescent="0.25">
      <c r="A28" s="103">
        <v>3</v>
      </c>
      <c r="B28" s="16" t="s">
        <v>154</v>
      </c>
      <c r="C28" s="79" t="s">
        <v>155</v>
      </c>
      <c r="D28" s="80" t="s">
        <v>155</v>
      </c>
      <c r="E28" s="80" t="s">
        <v>155</v>
      </c>
      <c r="F28" s="81" t="s">
        <v>155</v>
      </c>
      <c r="G28" s="79" t="s">
        <v>60</v>
      </c>
      <c r="H28" s="80" t="s">
        <v>60</v>
      </c>
      <c r="I28" s="80" t="s">
        <v>60</v>
      </c>
      <c r="J28" s="81" t="s">
        <v>60</v>
      </c>
      <c r="K28" s="42"/>
      <c r="L28" s="38"/>
      <c r="M28" s="38"/>
      <c r="N28" s="39"/>
      <c r="O28" s="79" t="s">
        <v>123</v>
      </c>
      <c r="P28" s="80" t="s">
        <v>123</v>
      </c>
      <c r="Q28" s="80" t="s">
        <v>123</v>
      </c>
      <c r="R28" s="42"/>
      <c r="S28" s="39"/>
      <c r="T28" s="42"/>
      <c r="U28" s="39"/>
      <c r="V28" s="42"/>
      <c r="W28" s="39"/>
      <c r="X28" s="79"/>
      <c r="Y28" s="97"/>
    </row>
    <row r="29" spans="1:25" ht="30" customHeight="1" thickBot="1" x14ac:dyDescent="0.3">
      <c r="A29" s="115">
        <v>4</v>
      </c>
      <c r="B29" s="105" t="s">
        <v>156</v>
      </c>
      <c r="C29" s="106" t="s">
        <v>157</v>
      </c>
      <c r="D29" s="107" t="s">
        <v>157</v>
      </c>
      <c r="E29" s="107" t="s">
        <v>157</v>
      </c>
      <c r="F29" s="108" t="s">
        <v>157</v>
      </c>
      <c r="G29" s="116" t="s">
        <v>54</v>
      </c>
      <c r="H29" s="107" t="s">
        <v>83</v>
      </c>
      <c r="I29" s="107" t="s">
        <v>83</v>
      </c>
      <c r="J29" s="108" t="s">
        <v>83</v>
      </c>
      <c r="K29" s="109"/>
      <c r="L29" s="100"/>
      <c r="M29" s="100"/>
      <c r="N29" s="110"/>
      <c r="O29" s="116" t="s">
        <v>106</v>
      </c>
      <c r="P29" s="107" t="s">
        <v>123</v>
      </c>
      <c r="Q29" s="107" t="s">
        <v>123</v>
      </c>
      <c r="R29" s="109"/>
      <c r="S29" s="110"/>
      <c r="T29" s="117" t="s">
        <v>107</v>
      </c>
      <c r="U29" s="110"/>
      <c r="V29" s="109"/>
      <c r="W29" s="110"/>
      <c r="X29" s="116" t="s">
        <v>140</v>
      </c>
      <c r="Y29" s="111"/>
    </row>
    <row r="30" spans="1:25" ht="36" customHeight="1" thickBot="1" x14ac:dyDescent="0.3"/>
    <row r="31" spans="1:25" ht="30" customHeight="1" x14ac:dyDescent="0.25">
      <c r="A31" s="84">
        <f>'Invetario de Tablas'!A7</f>
        <v>4</v>
      </c>
      <c r="B31" s="85" t="s">
        <v>28</v>
      </c>
      <c r="C31" s="86" t="str">
        <f>'Invetario de Tablas'!B7</f>
        <v>MIEMBRO_GRUPO (Intermedia)</v>
      </c>
      <c r="D31" s="87"/>
      <c r="E31" s="87"/>
      <c r="F31" s="88"/>
      <c r="G31" s="89" t="s">
        <v>29</v>
      </c>
      <c r="H31" s="87"/>
      <c r="I31" s="87"/>
      <c r="J31" s="88"/>
      <c r="K31" s="90" t="str">
        <f>'Invetario de Tablas'!C7</f>
        <v>Relación N:M entre usuarios y grupos.</v>
      </c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8"/>
      <c r="X31" s="91" t="s">
        <v>32</v>
      </c>
      <c r="Y31" s="92">
        <v>1</v>
      </c>
    </row>
    <row r="32" spans="1:25" ht="30" customHeight="1" x14ac:dyDescent="0.25">
      <c r="A32" s="93" t="s">
        <v>1</v>
      </c>
      <c r="B32" s="3" t="s">
        <v>33</v>
      </c>
      <c r="C32" s="44" t="s">
        <v>34</v>
      </c>
      <c r="D32" s="38"/>
      <c r="E32" s="38"/>
      <c r="F32" s="39"/>
      <c r="G32" s="44" t="s">
        <v>35</v>
      </c>
      <c r="H32" s="38"/>
      <c r="I32" s="38"/>
      <c r="J32" s="39"/>
      <c r="K32" s="44" t="s">
        <v>36</v>
      </c>
      <c r="L32" s="38"/>
      <c r="M32" s="38"/>
      <c r="N32" s="39"/>
      <c r="O32" s="44" t="s">
        <v>37</v>
      </c>
      <c r="P32" s="38"/>
      <c r="Q32" s="39"/>
      <c r="R32" s="44" t="s">
        <v>38</v>
      </c>
      <c r="S32" s="39"/>
      <c r="T32" s="44" t="s">
        <v>39</v>
      </c>
      <c r="U32" s="39"/>
      <c r="V32" s="44" t="s">
        <v>40</v>
      </c>
      <c r="W32" s="39"/>
      <c r="X32" s="44" t="s">
        <v>41</v>
      </c>
      <c r="Y32" s="94"/>
    </row>
    <row r="33" spans="1:25" ht="30" customHeight="1" x14ac:dyDescent="0.25">
      <c r="A33" s="103">
        <v>1</v>
      </c>
      <c r="B33" s="16" t="s">
        <v>104</v>
      </c>
      <c r="C33" s="79" t="s">
        <v>158</v>
      </c>
      <c r="D33" s="80"/>
      <c r="E33" s="80"/>
      <c r="F33" s="81"/>
      <c r="G33" s="79" t="s">
        <v>54</v>
      </c>
      <c r="H33" s="80" t="s">
        <v>54</v>
      </c>
      <c r="I33" s="80" t="s">
        <v>54</v>
      </c>
      <c r="J33" s="81" t="s">
        <v>54</v>
      </c>
      <c r="K33" s="42"/>
      <c r="L33" s="38"/>
      <c r="M33" s="38"/>
      <c r="N33" s="39"/>
      <c r="O33" s="79" t="s">
        <v>106</v>
      </c>
      <c r="P33" s="80" t="s">
        <v>106</v>
      </c>
      <c r="Q33" s="80" t="s">
        <v>106</v>
      </c>
      <c r="R33" s="82" t="s">
        <v>107</v>
      </c>
      <c r="S33" s="39"/>
      <c r="T33" s="82" t="s">
        <v>107</v>
      </c>
      <c r="U33" s="39"/>
      <c r="V33" s="42"/>
      <c r="W33" s="39"/>
      <c r="X33" s="114" t="s">
        <v>159</v>
      </c>
      <c r="Y33" s="97"/>
    </row>
    <row r="34" spans="1:25" ht="30" customHeight="1" x14ac:dyDescent="0.25">
      <c r="A34" s="103">
        <v>2</v>
      </c>
      <c r="B34" s="16" t="s">
        <v>150</v>
      </c>
      <c r="C34" s="79" t="s">
        <v>160</v>
      </c>
      <c r="D34" s="80" t="s">
        <v>160</v>
      </c>
      <c r="E34" s="80" t="s">
        <v>160</v>
      </c>
      <c r="F34" s="81" t="s">
        <v>160</v>
      </c>
      <c r="G34" s="79" t="s">
        <v>54</v>
      </c>
      <c r="H34" s="80" t="s">
        <v>54</v>
      </c>
      <c r="I34" s="80" t="s">
        <v>54</v>
      </c>
      <c r="J34" s="81" t="s">
        <v>54</v>
      </c>
      <c r="K34" s="42"/>
      <c r="L34" s="38"/>
      <c r="M34" s="38"/>
      <c r="N34" s="39"/>
      <c r="O34" s="79" t="s">
        <v>106</v>
      </c>
      <c r="P34" s="80" t="s">
        <v>106</v>
      </c>
      <c r="Q34" s="80" t="s">
        <v>106</v>
      </c>
      <c r="R34" s="82" t="s">
        <v>107</v>
      </c>
      <c r="S34" s="39"/>
      <c r="T34" s="82" t="s">
        <v>107</v>
      </c>
      <c r="U34" s="39"/>
      <c r="V34" s="42"/>
      <c r="W34" s="39"/>
      <c r="X34" s="114" t="s">
        <v>159</v>
      </c>
      <c r="Y34" s="97"/>
    </row>
    <row r="35" spans="1:25" ht="30" customHeight="1" thickBot="1" x14ac:dyDescent="0.3">
      <c r="A35" s="115">
        <v>3</v>
      </c>
      <c r="B35" s="105" t="s">
        <v>161</v>
      </c>
      <c r="C35" s="106" t="s">
        <v>162</v>
      </c>
      <c r="D35" s="107" t="s">
        <v>162</v>
      </c>
      <c r="E35" s="107" t="s">
        <v>162</v>
      </c>
      <c r="F35" s="108" t="s">
        <v>162</v>
      </c>
      <c r="G35" s="116" t="s">
        <v>64</v>
      </c>
      <c r="H35" s="107" t="s">
        <v>60</v>
      </c>
      <c r="I35" s="107" t="s">
        <v>60</v>
      </c>
      <c r="J35" s="108" t="s">
        <v>60</v>
      </c>
      <c r="K35" s="109"/>
      <c r="L35" s="100"/>
      <c r="M35" s="100"/>
      <c r="N35" s="110"/>
      <c r="O35" s="116" t="s">
        <v>106</v>
      </c>
      <c r="P35" s="107" t="s">
        <v>123</v>
      </c>
      <c r="Q35" s="107" t="s">
        <v>123</v>
      </c>
      <c r="R35" s="109"/>
      <c r="S35" s="110"/>
      <c r="T35" s="109"/>
      <c r="U35" s="110"/>
      <c r="V35" s="109"/>
      <c r="W35" s="110"/>
      <c r="X35" s="106"/>
      <c r="Y35" s="111"/>
    </row>
    <row r="36" spans="1:25" ht="36" customHeight="1" thickBot="1" x14ac:dyDescent="0.3"/>
    <row r="37" spans="1:25" ht="21" x14ac:dyDescent="0.25">
      <c r="A37" s="84">
        <f>'Invetario de Tablas'!A8</f>
        <v>5</v>
      </c>
      <c r="B37" s="85" t="s">
        <v>28</v>
      </c>
      <c r="C37" s="86" t="str">
        <f>'Invetario de Tablas'!B8</f>
        <v>EVENTO</v>
      </c>
      <c r="D37" s="87"/>
      <c r="E37" s="87"/>
      <c r="F37" s="88"/>
      <c r="G37" s="89" t="s">
        <v>29</v>
      </c>
      <c r="H37" s="87"/>
      <c r="I37" s="87"/>
      <c r="J37" s="88"/>
      <c r="K37" s="90" t="str">
        <f>'Invetario de Tablas'!C8</f>
        <v>Actividades programadas (Talleres, reuniones).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3"/>
      <c r="X37" s="91" t="s">
        <v>32</v>
      </c>
      <c r="Y37" s="92">
        <v>1</v>
      </c>
    </row>
    <row r="38" spans="1:25" ht="30" customHeight="1" x14ac:dyDescent="0.25">
      <c r="A38" s="93" t="s">
        <v>1</v>
      </c>
      <c r="B38" s="3" t="s">
        <v>33</v>
      </c>
      <c r="C38" s="44" t="s">
        <v>34</v>
      </c>
      <c r="D38" s="38"/>
      <c r="E38" s="38"/>
      <c r="F38" s="39"/>
      <c r="G38" s="44" t="s">
        <v>35</v>
      </c>
      <c r="H38" s="38"/>
      <c r="I38" s="38"/>
      <c r="J38" s="39"/>
      <c r="K38" s="44" t="s">
        <v>36</v>
      </c>
      <c r="L38" s="38"/>
      <c r="M38" s="38"/>
      <c r="N38" s="39"/>
      <c r="O38" s="44" t="s">
        <v>37</v>
      </c>
      <c r="P38" s="38"/>
      <c r="Q38" s="39"/>
      <c r="R38" s="44" t="s">
        <v>38</v>
      </c>
      <c r="S38" s="39"/>
      <c r="T38" s="44" t="s">
        <v>39</v>
      </c>
      <c r="U38" s="39"/>
      <c r="V38" s="44" t="s">
        <v>40</v>
      </c>
      <c r="W38" s="39"/>
      <c r="X38" s="44" t="s">
        <v>41</v>
      </c>
      <c r="Y38" s="94"/>
    </row>
    <row r="39" spans="1:25" ht="30" customHeight="1" x14ac:dyDescent="0.25">
      <c r="A39" s="103">
        <v>1</v>
      </c>
      <c r="B39" s="16" t="s">
        <v>163</v>
      </c>
      <c r="C39" s="79" t="s">
        <v>164</v>
      </c>
      <c r="D39" s="80"/>
      <c r="E39" s="80"/>
      <c r="F39" s="81"/>
      <c r="G39" s="79" t="s">
        <v>51</v>
      </c>
      <c r="H39" s="80" t="s">
        <v>51</v>
      </c>
      <c r="I39" s="80" t="s">
        <v>51</v>
      </c>
      <c r="J39" s="81" t="s">
        <v>51</v>
      </c>
      <c r="K39" s="42"/>
      <c r="L39" s="38"/>
      <c r="M39" s="38"/>
      <c r="N39" s="39"/>
      <c r="O39" s="79" t="s">
        <v>106</v>
      </c>
      <c r="P39" s="80" t="s">
        <v>106</v>
      </c>
      <c r="Q39" s="80" t="s">
        <v>106</v>
      </c>
      <c r="R39" s="82" t="s">
        <v>107</v>
      </c>
      <c r="S39" s="39"/>
      <c r="T39" s="42"/>
      <c r="U39" s="39"/>
      <c r="V39" s="42"/>
      <c r="W39" s="39"/>
      <c r="X39" s="79"/>
      <c r="Y39" s="97"/>
    </row>
    <row r="40" spans="1:25" ht="30" customHeight="1" x14ac:dyDescent="0.25">
      <c r="A40" s="103">
        <v>2</v>
      </c>
      <c r="B40" s="16" t="s">
        <v>165</v>
      </c>
      <c r="C40" s="79" t="s">
        <v>166</v>
      </c>
      <c r="D40" s="80" t="s">
        <v>166</v>
      </c>
      <c r="E40" s="80" t="s">
        <v>166</v>
      </c>
      <c r="F40" s="81" t="s">
        <v>166</v>
      </c>
      <c r="G40" s="79" t="s">
        <v>167</v>
      </c>
      <c r="H40" s="80" t="s">
        <v>167</v>
      </c>
      <c r="I40" s="80" t="s">
        <v>167</v>
      </c>
      <c r="J40" s="81" t="s">
        <v>167</v>
      </c>
      <c r="K40" s="42"/>
      <c r="L40" s="38"/>
      <c r="M40" s="38"/>
      <c r="N40" s="39"/>
      <c r="O40" s="79" t="s">
        <v>106</v>
      </c>
      <c r="P40" s="80" t="s">
        <v>106</v>
      </c>
      <c r="Q40" s="80" t="s">
        <v>106</v>
      </c>
      <c r="R40" s="42"/>
      <c r="S40" s="39"/>
      <c r="T40" s="82"/>
      <c r="U40" s="39"/>
      <c r="V40" s="42"/>
      <c r="W40" s="39"/>
      <c r="X40" s="79"/>
      <c r="Y40" s="97"/>
    </row>
    <row r="41" spans="1:25" ht="30" customHeight="1" x14ac:dyDescent="0.25">
      <c r="A41" s="103">
        <v>3</v>
      </c>
      <c r="B41" s="16" t="s">
        <v>168</v>
      </c>
      <c r="C41" s="79" t="s">
        <v>169</v>
      </c>
      <c r="D41" s="80" t="s">
        <v>169</v>
      </c>
      <c r="E41" s="80" t="s">
        <v>169</v>
      </c>
      <c r="F41" s="81" t="s">
        <v>169</v>
      </c>
      <c r="G41" s="79" t="s">
        <v>65</v>
      </c>
      <c r="H41" s="80" t="s">
        <v>65</v>
      </c>
      <c r="I41" s="80" t="s">
        <v>65</v>
      </c>
      <c r="J41" s="81" t="s">
        <v>65</v>
      </c>
      <c r="K41" s="42"/>
      <c r="L41" s="38"/>
      <c r="M41" s="38"/>
      <c r="N41" s="39"/>
      <c r="O41" s="79" t="s">
        <v>123</v>
      </c>
      <c r="P41" s="80" t="s">
        <v>123</v>
      </c>
      <c r="Q41" s="80" t="s">
        <v>123</v>
      </c>
      <c r="R41" s="42"/>
      <c r="S41" s="39"/>
      <c r="T41" s="42"/>
      <c r="U41" s="39"/>
      <c r="V41" s="42"/>
      <c r="W41" s="39"/>
      <c r="X41" s="79"/>
      <c r="Y41" s="97"/>
    </row>
    <row r="42" spans="1:25" ht="30" customHeight="1" x14ac:dyDescent="0.25">
      <c r="A42" s="103">
        <v>4</v>
      </c>
      <c r="B42" s="16" t="s">
        <v>170</v>
      </c>
      <c r="C42" s="79" t="s">
        <v>171</v>
      </c>
      <c r="D42" s="80" t="s">
        <v>171</v>
      </c>
      <c r="E42" s="80" t="s">
        <v>171</v>
      </c>
      <c r="F42" s="81" t="s">
        <v>171</v>
      </c>
      <c r="G42" s="79" t="s">
        <v>65</v>
      </c>
      <c r="H42" s="80" t="s">
        <v>65</v>
      </c>
      <c r="I42" s="80" t="s">
        <v>65</v>
      </c>
      <c r="J42" s="81" t="s">
        <v>65</v>
      </c>
      <c r="K42" s="42"/>
      <c r="L42" s="38"/>
      <c r="M42" s="38"/>
      <c r="N42" s="39"/>
      <c r="O42" s="79" t="s">
        <v>123</v>
      </c>
      <c r="P42" s="80" t="s">
        <v>123</v>
      </c>
      <c r="Q42" s="80" t="s">
        <v>123</v>
      </c>
      <c r="R42" s="42"/>
      <c r="S42" s="39"/>
      <c r="T42" s="42"/>
      <c r="U42" s="39"/>
      <c r="V42" s="42"/>
      <c r="W42" s="39"/>
      <c r="X42" s="79" t="s">
        <v>172</v>
      </c>
      <c r="Y42" s="97" t="s">
        <v>172</v>
      </c>
    </row>
    <row r="43" spans="1:25" ht="30" customHeight="1" thickBot="1" x14ac:dyDescent="0.3">
      <c r="A43" s="115">
        <v>5</v>
      </c>
      <c r="B43" s="105" t="s">
        <v>150</v>
      </c>
      <c r="C43" s="106" t="s">
        <v>173</v>
      </c>
      <c r="D43" s="107" t="s">
        <v>173</v>
      </c>
      <c r="E43" s="107" t="s">
        <v>173</v>
      </c>
      <c r="F43" s="108" t="s">
        <v>173</v>
      </c>
      <c r="G43" s="106" t="s">
        <v>54</v>
      </c>
      <c r="H43" s="107" t="s">
        <v>54</v>
      </c>
      <c r="I43" s="107" t="s">
        <v>54</v>
      </c>
      <c r="J43" s="108" t="s">
        <v>54</v>
      </c>
      <c r="K43" s="109"/>
      <c r="L43" s="100"/>
      <c r="M43" s="100"/>
      <c r="N43" s="110"/>
      <c r="O43" s="106" t="s">
        <v>106</v>
      </c>
      <c r="P43" s="107" t="s">
        <v>106</v>
      </c>
      <c r="Q43" s="107" t="s">
        <v>106</v>
      </c>
      <c r="R43" s="109"/>
      <c r="S43" s="110"/>
      <c r="T43" s="117" t="s">
        <v>107</v>
      </c>
      <c r="U43" s="110"/>
      <c r="V43" s="109"/>
      <c r="W43" s="110"/>
      <c r="X43" s="106" t="s">
        <v>174</v>
      </c>
      <c r="Y43" s="111" t="s">
        <v>174</v>
      </c>
    </row>
    <row r="44" spans="1:25" ht="36" customHeight="1" thickBot="1" x14ac:dyDescent="0.3"/>
    <row r="45" spans="1:25" ht="30" customHeight="1" x14ac:dyDescent="0.25">
      <c r="A45" s="84">
        <f>'Invetario de Tablas'!A9</f>
        <v>6</v>
      </c>
      <c r="B45" s="85" t="s">
        <v>28</v>
      </c>
      <c r="C45" s="86" t="str">
        <f>'Invetario de Tablas'!B9</f>
        <v>COMENTARIO</v>
      </c>
      <c r="D45" s="87"/>
      <c r="E45" s="87"/>
      <c r="F45" s="88"/>
      <c r="G45" s="89" t="s">
        <v>29</v>
      </c>
      <c r="H45" s="87"/>
      <c r="I45" s="87"/>
      <c r="J45" s="88"/>
      <c r="K45" s="90" t="str">
        <f>'Invetario de Tablas'!C9</f>
        <v>Respuestas a publicaciones.</v>
      </c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8"/>
      <c r="X45" s="91" t="s">
        <v>32</v>
      </c>
      <c r="Y45" s="92">
        <v>1</v>
      </c>
    </row>
    <row r="46" spans="1:25" ht="30" customHeight="1" x14ac:dyDescent="0.25">
      <c r="A46" s="93" t="s">
        <v>1</v>
      </c>
      <c r="B46" s="3" t="s">
        <v>33</v>
      </c>
      <c r="C46" s="44" t="s">
        <v>34</v>
      </c>
      <c r="D46" s="38"/>
      <c r="E46" s="38"/>
      <c r="F46" s="39"/>
      <c r="G46" s="44" t="s">
        <v>35</v>
      </c>
      <c r="H46" s="38"/>
      <c r="I46" s="38"/>
      <c r="J46" s="39"/>
      <c r="K46" s="44" t="s">
        <v>36</v>
      </c>
      <c r="L46" s="38"/>
      <c r="M46" s="38"/>
      <c r="N46" s="39"/>
      <c r="O46" s="44" t="s">
        <v>37</v>
      </c>
      <c r="P46" s="38"/>
      <c r="Q46" s="39"/>
      <c r="R46" s="44" t="s">
        <v>38</v>
      </c>
      <c r="S46" s="39"/>
      <c r="T46" s="44" t="s">
        <v>39</v>
      </c>
      <c r="U46" s="39"/>
      <c r="V46" s="44" t="s">
        <v>40</v>
      </c>
      <c r="W46" s="39"/>
      <c r="X46" s="44" t="s">
        <v>41</v>
      </c>
      <c r="Y46" s="94"/>
    </row>
    <row r="47" spans="1:25" ht="30" customHeight="1" x14ac:dyDescent="0.25">
      <c r="A47" s="103">
        <v>1</v>
      </c>
      <c r="B47" s="16" t="s">
        <v>175</v>
      </c>
      <c r="C47" s="79" t="s">
        <v>176</v>
      </c>
      <c r="D47" s="80"/>
      <c r="E47" s="80"/>
      <c r="F47" s="81"/>
      <c r="G47" s="79" t="s">
        <v>51</v>
      </c>
      <c r="H47" s="80" t="s">
        <v>51</v>
      </c>
      <c r="I47" s="80" t="s">
        <v>51</v>
      </c>
      <c r="J47" s="81" t="s">
        <v>51</v>
      </c>
      <c r="K47" s="42"/>
      <c r="L47" s="38"/>
      <c r="M47" s="38"/>
      <c r="N47" s="39"/>
      <c r="O47" s="79" t="s">
        <v>106</v>
      </c>
      <c r="P47" s="80" t="s">
        <v>106</v>
      </c>
      <c r="Q47" s="80" t="s">
        <v>106</v>
      </c>
      <c r="R47" s="82" t="s">
        <v>107</v>
      </c>
      <c r="S47" s="39"/>
      <c r="T47" s="42"/>
      <c r="U47" s="39"/>
      <c r="V47" s="42"/>
      <c r="W47" s="39"/>
      <c r="X47" s="79"/>
      <c r="Y47" s="97"/>
    </row>
    <row r="48" spans="1:25" ht="30" customHeight="1" x14ac:dyDescent="0.25">
      <c r="A48" s="103">
        <v>2</v>
      </c>
      <c r="B48" s="16" t="s">
        <v>137</v>
      </c>
      <c r="C48" s="79" t="s">
        <v>177</v>
      </c>
      <c r="D48" s="80" t="s">
        <v>177</v>
      </c>
      <c r="E48" s="80" t="s">
        <v>177</v>
      </c>
      <c r="F48" s="81" t="s">
        <v>177</v>
      </c>
      <c r="G48" s="79" t="s">
        <v>54</v>
      </c>
      <c r="H48" s="80" t="s">
        <v>54</v>
      </c>
      <c r="I48" s="80" t="s">
        <v>54</v>
      </c>
      <c r="J48" s="81" t="s">
        <v>54</v>
      </c>
      <c r="K48" s="42"/>
      <c r="L48" s="38"/>
      <c r="M48" s="38"/>
      <c r="N48" s="39"/>
      <c r="O48" s="79" t="s">
        <v>106</v>
      </c>
      <c r="P48" s="80" t="s">
        <v>106</v>
      </c>
      <c r="Q48" s="80" t="s">
        <v>106</v>
      </c>
      <c r="R48" s="42"/>
      <c r="S48" s="39"/>
      <c r="T48" s="82" t="s">
        <v>107</v>
      </c>
      <c r="U48" s="39"/>
      <c r="V48" s="42"/>
      <c r="W48" s="39"/>
      <c r="X48" s="79"/>
      <c r="Y48" s="97"/>
    </row>
    <row r="49" spans="1:25" ht="30" customHeight="1" x14ac:dyDescent="0.25">
      <c r="A49" s="103">
        <v>3</v>
      </c>
      <c r="B49" s="16" t="s">
        <v>104</v>
      </c>
      <c r="C49" s="79" t="s">
        <v>178</v>
      </c>
      <c r="D49" s="80" t="s">
        <v>178</v>
      </c>
      <c r="E49" s="80" t="s">
        <v>178</v>
      </c>
      <c r="F49" s="81" t="s">
        <v>178</v>
      </c>
      <c r="G49" s="79" t="s">
        <v>54</v>
      </c>
      <c r="H49" s="80" t="s">
        <v>54</v>
      </c>
      <c r="I49" s="80" t="s">
        <v>54</v>
      </c>
      <c r="J49" s="81" t="s">
        <v>54</v>
      </c>
      <c r="K49" s="42"/>
      <c r="L49" s="38"/>
      <c r="M49" s="38"/>
      <c r="N49" s="39"/>
      <c r="O49" s="114" t="s">
        <v>106</v>
      </c>
      <c r="P49" s="80" t="s">
        <v>123</v>
      </c>
      <c r="Q49" s="80" t="s">
        <v>123</v>
      </c>
      <c r="R49" s="42"/>
      <c r="S49" s="39"/>
      <c r="T49" s="82" t="s">
        <v>107</v>
      </c>
      <c r="U49" s="39"/>
      <c r="V49" s="42"/>
      <c r="W49" s="39"/>
      <c r="X49" s="79"/>
      <c r="Y49" s="97"/>
    </row>
    <row r="50" spans="1:25" ht="30" customHeight="1" x14ac:dyDescent="0.25">
      <c r="A50" s="103">
        <v>4</v>
      </c>
      <c r="B50" s="16" t="s">
        <v>179</v>
      </c>
      <c r="C50" s="79" t="s">
        <v>180</v>
      </c>
      <c r="D50" s="80" t="s">
        <v>180</v>
      </c>
      <c r="E50" s="80" t="s">
        <v>180</v>
      </c>
      <c r="F50" s="81" t="s">
        <v>180</v>
      </c>
      <c r="G50" s="79" t="s">
        <v>60</v>
      </c>
      <c r="H50" s="80" t="s">
        <v>60</v>
      </c>
      <c r="I50" s="80" t="s">
        <v>60</v>
      </c>
      <c r="J50" s="81" t="s">
        <v>60</v>
      </c>
      <c r="K50" s="42"/>
      <c r="L50" s="38"/>
      <c r="M50" s="38"/>
      <c r="N50" s="39"/>
      <c r="O50" s="114" t="s">
        <v>106</v>
      </c>
      <c r="P50" s="80" t="s">
        <v>123</v>
      </c>
      <c r="Q50" s="80" t="s">
        <v>123</v>
      </c>
      <c r="R50" s="42"/>
      <c r="S50" s="39"/>
      <c r="T50" s="42"/>
      <c r="U50" s="39"/>
      <c r="V50" s="42"/>
      <c r="W50" s="39"/>
      <c r="X50" s="79"/>
      <c r="Y50" s="97"/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15.75" customHeight="1" x14ac:dyDescent="0.25"/>
    <row r="57" spans="1:25" ht="15.75" customHeight="1" x14ac:dyDescent="0.25"/>
    <row r="58" spans="1:25" ht="15.75" customHeight="1" x14ac:dyDescent="0.25"/>
    <row r="59" spans="1:25" ht="15.75" customHeight="1" x14ac:dyDescent="0.25"/>
    <row r="60" spans="1:25" ht="15.75" customHeight="1" x14ac:dyDescent="0.25"/>
    <row r="61" spans="1:25" ht="15.75" customHeight="1" x14ac:dyDescent="0.25"/>
    <row r="62" spans="1:25" ht="15.75" customHeight="1" x14ac:dyDescent="0.25"/>
    <row r="63" spans="1:25" ht="15.75" customHeight="1" x14ac:dyDescent="0.25"/>
    <row r="64" spans="1:2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293">
    <mergeCell ref="C50:F50"/>
    <mergeCell ref="G50:J50"/>
    <mergeCell ref="K50:N50"/>
    <mergeCell ref="O50:Q50"/>
    <mergeCell ref="R50:S50"/>
    <mergeCell ref="T50:U50"/>
    <mergeCell ref="V50:W50"/>
    <mergeCell ref="X50:Y50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5:F45"/>
    <mergeCell ref="G45:J45"/>
    <mergeCell ref="K45:W45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7:F37"/>
    <mergeCell ref="G37:J37"/>
    <mergeCell ref="K37:W37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1:F31"/>
    <mergeCell ref="G31:J31"/>
    <mergeCell ref="K31:W31"/>
    <mergeCell ref="C32:F32"/>
    <mergeCell ref="G32:J32"/>
    <mergeCell ref="K32:N32"/>
    <mergeCell ref="O32:Q32"/>
    <mergeCell ref="R32:S32"/>
    <mergeCell ref="T32:U32"/>
    <mergeCell ref="V32:W32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X7:Y7"/>
    <mergeCell ref="V8:W8"/>
    <mergeCell ref="X8:Y8"/>
    <mergeCell ref="V17:W17"/>
    <mergeCell ref="X17:Y17"/>
    <mergeCell ref="C24:F24"/>
    <mergeCell ref="G24:J24"/>
    <mergeCell ref="K24:W24"/>
    <mergeCell ref="C25:F25"/>
    <mergeCell ref="G25:J25"/>
    <mergeCell ref="K25:N25"/>
    <mergeCell ref="O25:Q25"/>
    <mergeCell ref="R25:S25"/>
    <mergeCell ref="T25:U25"/>
    <mergeCell ref="V25:W25"/>
    <mergeCell ref="X25:Y25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22:Y22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V20:W20"/>
    <mergeCell ref="X20:Y20"/>
    <mergeCell ref="C20:F20"/>
    <mergeCell ref="C18:F18"/>
    <mergeCell ref="C19:F19"/>
    <mergeCell ref="G19:J19"/>
    <mergeCell ref="K19:N19"/>
    <mergeCell ref="O19:Q19"/>
    <mergeCell ref="R19:S19"/>
    <mergeCell ref="T19:U19"/>
    <mergeCell ref="G20:J20"/>
    <mergeCell ref="K20:N20"/>
    <mergeCell ref="O20:Q20"/>
    <mergeCell ref="R20:S20"/>
    <mergeCell ref="T20:U20"/>
    <mergeCell ref="G18:J18"/>
    <mergeCell ref="K18:N18"/>
    <mergeCell ref="O18:Q18"/>
    <mergeCell ref="R18:S18"/>
    <mergeCell ref="T18:U18"/>
    <mergeCell ref="V18:W18"/>
    <mergeCell ref="X18:Y18"/>
    <mergeCell ref="V19:W19"/>
    <mergeCell ref="X19:Y19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T15:U15"/>
    <mergeCell ref="V15:W15"/>
    <mergeCell ref="X15:Y15"/>
    <mergeCell ref="K14:N14"/>
    <mergeCell ref="O14:Q14"/>
    <mergeCell ref="C15:F15"/>
    <mergeCell ref="G15:J15"/>
    <mergeCell ref="K15:N15"/>
    <mergeCell ref="O15:Q15"/>
    <mergeCell ref="R15:S15"/>
    <mergeCell ref="R14:S14"/>
    <mergeCell ref="T14:U14"/>
    <mergeCell ref="V14:W14"/>
    <mergeCell ref="X14:Y14"/>
    <mergeCell ref="A11:Y11"/>
    <mergeCell ref="C13:F13"/>
    <mergeCell ref="G13:J13"/>
    <mergeCell ref="K13:W13"/>
    <mergeCell ref="C14:F14"/>
    <mergeCell ref="G14:J14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62"/>
  <sheetViews>
    <sheetView zoomScale="70" zoomScaleNormal="70" workbookViewId="0">
      <selection activeCell="X48" sqref="X48"/>
    </sheetView>
  </sheetViews>
  <sheetFormatPr baseColWidth="10" defaultColWidth="12.6328125" defaultRowHeight="15" customHeight="1" x14ac:dyDescent="0.25"/>
  <cols>
    <col min="1" max="1" width="5.6328125" customWidth="1"/>
    <col min="2" max="2" width="29.7265625" customWidth="1"/>
    <col min="3" max="3" width="32.08984375" customWidth="1"/>
    <col min="4" max="9" width="3.90625" customWidth="1"/>
    <col min="10" max="10" width="23.453125" customWidth="1"/>
    <col min="11" max="19" width="3.90625" customWidth="1"/>
    <col min="20" max="20" width="6.36328125" customWidth="1"/>
    <col min="21" max="21" width="3.90625" customWidth="1"/>
    <col min="22" max="22" width="5.7265625" customWidth="1"/>
    <col min="23" max="23" width="12.7265625" customWidth="1"/>
    <col min="24" max="24" width="17" customWidth="1"/>
    <col min="25" max="25" width="30.36328125" customWidth="1"/>
  </cols>
  <sheetData>
    <row r="1" spans="1:25" ht="39" customHeight="1" x14ac:dyDescent="0.25">
      <c r="A1" s="71" t="s">
        <v>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8.5" customHeight="1" thickBot="1" x14ac:dyDescent="0.3"/>
    <row r="3" spans="1:25" ht="30" customHeight="1" thickTop="1" thickBot="1" x14ac:dyDescent="0.3">
      <c r="A3" s="22">
        <f>'Invetario de Tablas'!A4</f>
        <v>1</v>
      </c>
      <c r="B3" s="23" t="s">
        <v>28</v>
      </c>
      <c r="C3" s="66" t="str">
        <f>'Invetario de Tablas'!B4</f>
        <v>USUARIO</v>
      </c>
      <c r="D3" s="57"/>
      <c r="E3" s="57"/>
      <c r="F3" s="58"/>
      <c r="G3" s="67" t="s">
        <v>29</v>
      </c>
      <c r="H3" s="49"/>
      <c r="I3" s="49"/>
      <c r="J3" s="50"/>
      <c r="K3" s="68" t="str">
        <f>'Invetario de Tablas'!C4</f>
        <v>Datos de estudiantes, docentes y perfiles de la red.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8"/>
      <c r="X3" s="24" t="s">
        <v>32</v>
      </c>
      <c r="Y3" s="14">
        <v>1</v>
      </c>
    </row>
    <row r="4" spans="1:25" ht="30" customHeight="1" thickTop="1" thickBot="1" x14ac:dyDescent="0.3">
      <c r="A4" s="25" t="s">
        <v>1</v>
      </c>
      <c r="B4" s="26" t="s">
        <v>33</v>
      </c>
      <c r="C4" s="59" t="s">
        <v>34</v>
      </c>
      <c r="D4" s="36"/>
      <c r="E4" s="36"/>
      <c r="F4" s="60"/>
      <c r="G4" s="61" t="s">
        <v>45</v>
      </c>
      <c r="H4" s="69"/>
      <c r="I4" s="69"/>
      <c r="J4" s="70"/>
      <c r="K4" s="59" t="s">
        <v>36</v>
      </c>
      <c r="L4" s="36"/>
      <c r="M4" s="36"/>
      <c r="N4" s="60"/>
      <c r="O4" s="59" t="s">
        <v>37</v>
      </c>
      <c r="P4" s="36"/>
      <c r="Q4" s="60"/>
      <c r="R4" s="59" t="s">
        <v>38</v>
      </c>
      <c r="S4" s="60"/>
      <c r="T4" s="59" t="s">
        <v>39</v>
      </c>
      <c r="U4" s="60"/>
      <c r="V4" s="59" t="s">
        <v>40</v>
      </c>
      <c r="W4" s="60"/>
      <c r="X4" s="61" t="s">
        <v>41</v>
      </c>
      <c r="Y4" s="62"/>
    </row>
    <row r="5" spans="1:25" ht="30" customHeight="1" thickTop="1" thickBot="1" x14ac:dyDescent="0.3">
      <c r="A5" s="27">
        <v>1</v>
      </c>
      <c r="B5" s="28" t="s">
        <v>104</v>
      </c>
      <c r="C5" s="118" t="s">
        <v>181</v>
      </c>
      <c r="D5" s="119"/>
      <c r="E5" s="119"/>
      <c r="F5" s="120"/>
      <c r="G5" s="118" t="s">
        <v>55</v>
      </c>
      <c r="H5" s="119" t="s">
        <v>55</v>
      </c>
      <c r="I5" s="119" t="s">
        <v>55</v>
      </c>
      <c r="J5" s="120" t="s">
        <v>55</v>
      </c>
      <c r="K5" s="56"/>
      <c r="L5" s="57"/>
      <c r="M5" s="57"/>
      <c r="N5" s="58"/>
      <c r="O5" s="121" t="s">
        <v>106</v>
      </c>
      <c r="P5" s="57"/>
      <c r="Q5" s="58"/>
      <c r="R5" s="121" t="s">
        <v>107</v>
      </c>
      <c r="S5" s="58"/>
      <c r="T5" s="56"/>
      <c r="U5" s="58"/>
      <c r="V5" s="56"/>
      <c r="W5" s="58"/>
      <c r="X5" s="121" t="s">
        <v>182</v>
      </c>
      <c r="Y5" s="123"/>
    </row>
    <row r="6" spans="1:25" ht="30" customHeight="1" thickTop="1" thickBot="1" x14ac:dyDescent="0.3">
      <c r="A6" s="27">
        <v>2</v>
      </c>
      <c r="B6" s="28" t="s">
        <v>109</v>
      </c>
      <c r="C6" s="118" t="s">
        <v>183</v>
      </c>
      <c r="D6" s="119" t="s">
        <v>183</v>
      </c>
      <c r="E6" s="119" t="s">
        <v>183</v>
      </c>
      <c r="F6" s="120" t="s">
        <v>183</v>
      </c>
      <c r="G6" s="118" t="s">
        <v>184</v>
      </c>
      <c r="H6" s="119" t="s">
        <v>184</v>
      </c>
      <c r="I6" s="119" t="s">
        <v>184</v>
      </c>
      <c r="J6" s="120" t="s">
        <v>184</v>
      </c>
      <c r="K6" s="56"/>
      <c r="L6" s="122"/>
      <c r="M6" s="122"/>
      <c r="N6" s="123"/>
      <c r="O6" s="121" t="s">
        <v>106</v>
      </c>
      <c r="P6" s="57"/>
      <c r="Q6" s="58"/>
      <c r="R6" s="56"/>
      <c r="S6" s="58"/>
      <c r="T6" s="56"/>
      <c r="U6" s="58"/>
      <c r="V6" s="56"/>
      <c r="W6" s="58"/>
      <c r="X6" s="56"/>
      <c r="Y6" s="123"/>
    </row>
    <row r="7" spans="1:25" ht="30" customHeight="1" thickTop="1" thickBot="1" x14ac:dyDescent="0.3">
      <c r="A7" s="27">
        <v>3</v>
      </c>
      <c r="B7" s="28" t="s">
        <v>112</v>
      </c>
      <c r="C7" s="118" t="s">
        <v>113</v>
      </c>
      <c r="D7" s="119" t="s">
        <v>113</v>
      </c>
      <c r="E7" s="119" t="s">
        <v>113</v>
      </c>
      <c r="F7" s="120" t="s">
        <v>113</v>
      </c>
      <c r="G7" s="118" t="s">
        <v>184</v>
      </c>
      <c r="H7" s="119" t="s">
        <v>184</v>
      </c>
      <c r="I7" s="119" t="s">
        <v>184</v>
      </c>
      <c r="J7" s="120" t="s">
        <v>184</v>
      </c>
      <c r="K7" s="56"/>
      <c r="L7" s="122"/>
      <c r="M7" s="122"/>
      <c r="N7" s="123"/>
      <c r="O7" s="121" t="s">
        <v>106</v>
      </c>
      <c r="P7" s="57"/>
      <c r="Q7" s="58"/>
      <c r="R7" s="56"/>
      <c r="S7" s="58"/>
      <c r="T7" s="56"/>
      <c r="U7" s="58"/>
      <c r="V7" s="121" t="s">
        <v>107</v>
      </c>
      <c r="W7" s="58"/>
      <c r="X7" s="121" t="s">
        <v>185</v>
      </c>
      <c r="Y7" s="123"/>
    </row>
    <row r="8" spans="1:25" ht="30" customHeight="1" thickTop="1" thickBot="1" x14ac:dyDescent="0.3">
      <c r="A8" s="27">
        <v>4</v>
      </c>
      <c r="B8" s="28" t="s">
        <v>115</v>
      </c>
      <c r="C8" s="118" t="s">
        <v>186</v>
      </c>
      <c r="D8" s="119" t="s">
        <v>186</v>
      </c>
      <c r="E8" s="119" t="s">
        <v>186</v>
      </c>
      <c r="F8" s="120" t="s">
        <v>186</v>
      </c>
      <c r="G8" s="118" t="s">
        <v>55</v>
      </c>
      <c r="H8" s="119" t="s">
        <v>55</v>
      </c>
      <c r="I8" s="119" t="s">
        <v>55</v>
      </c>
      <c r="J8" s="120" t="s">
        <v>55</v>
      </c>
      <c r="K8" s="56"/>
      <c r="L8" s="122"/>
      <c r="M8" s="122"/>
      <c r="N8" s="123"/>
      <c r="O8" s="121" t="s">
        <v>106</v>
      </c>
      <c r="P8" s="57"/>
      <c r="Q8" s="58"/>
      <c r="R8" s="56"/>
      <c r="S8" s="58"/>
      <c r="T8" s="121" t="s">
        <v>107</v>
      </c>
      <c r="U8" s="58"/>
      <c r="V8" s="56"/>
      <c r="W8" s="58"/>
      <c r="X8" s="121" t="s">
        <v>187</v>
      </c>
      <c r="Y8" s="123"/>
    </row>
    <row r="9" spans="1:25" ht="30" customHeight="1" thickTop="1" thickBot="1" x14ac:dyDescent="0.3">
      <c r="A9" s="27">
        <v>5</v>
      </c>
      <c r="B9" s="28" t="s">
        <v>188</v>
      </c>
      <c r="C9" s="118" t="s">
        <v>189</v>
      </c>
      <c r="D9" s="119" t="s">
        <v>189</v>
      </c>
      <c r="E9" s="119" t="s">
        <v>189</v>
      </c>
      <c r="F9" s="120" t="s">
        <v>189</v>
      </c>
      <c r="G9" s="118" t="s">
        <v>22</v>
      </c>
      <c r="H9" s="119" t="s">
        <v>22</v>
      </c>
      <c r="I9" s="119" t="s">
        <v>22</v>
      </c>
      <c r="J9" s="120" t="s">
        <v>22</v>
      </c>
      <c r="K9" s="56"/>
      <c r="L9" s="57"/>
      <c r="M9" s="57"/>
      <c r="N9" s="58"/>
      <c r="O9" s="121" t="s">
        <v>123</v>
      </c>
      <c r="P9" s="57"/>
      <c r="Q9" s="58"/>
      <c r="R9" s="56"/>
      <c r="S9" s="58"/>
      <c r="T9" s="56"/>
      <c r="U9" s="58"/>
      <c r="V9" s="56"/>
      <c r="W9" s="58"/>
      <c r="X9" s="121" t="s">
        <v>193</v>
      </c>
      <c r="Y9" s="123"/>
    </row>
    <row r="10" spans="1:25" ht="30" customHeight="1" thickTop="1" thickBot="1" x14ac:dyDescent="0.3">
      <c r="A10" s="29">
        <v>6</v>
      </c>
      <c r="B10" s="28" t="s">
        <v>190</v>
      </c>
      <c r="C10" s="118" t="s">
        <v>191</v>
      </c>
      <c r="D10" s="119" t="s">
        <v>191</v>
      </c>
      <c r="E10" s="119" t="s">
        <v>191</v>
      </c>
      <c r="F10" s="120" t="s">
        <v>191</v>
      </c>
      <c r="G10" s="118" t="s">
        <v>66</v>
      </c>
      <c r="H10" s="119" t="s">
        <v>66</v>
      </c>
      <c r="I10" s="119" t="s">
        <v>66</v>
      </c>
      <c r="J10" s="120" t="s">
        <v>66</v>
      </c>
      <c r="K10" s="56"/>
      <c r="L10" s="122"/>
      <c r="M10" s="122"/>
      <c r="N10" s="123"/>
      <c r="O10" s="121" t="s">
        <v>106</v>
      </c>
      <c r="P10" s="57"/>
      <c r="Q10" s="58"/>
      <c r="R10" s="56"/>
      <c r="S10" s="58"/>
      <c r="T10" s="56"/>
      <c r="U10" s="58"/>
      <c r="V10" s="56"/>
      <c r="W10" s="58"/>
      <c r="X10" s="121" t="s">
        <v>192</v>
      </c>
      <c r="Y10" s="123"/>
    </row>
    <row r="11" spans="1:25" ht="28.5" customHeight="1" thickTop="1" thickBot="1" x14ac:dyDescent="0.3">
      <c r="A11" s="63" t="s">
        <v>42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5"/>
    </row>
    <row r="12" spans="1:25" ht="36" customHeight="1" thickTop="1" thickBot="1" x14ac:dyDescent="0.3"/>
    <row r="13" spans="1:25" ht="30" customHeight="1" x14ac:dyDescent="0.25">
      <c r="A13" s="22">
        <f>'Invetario de Tablas'!A5</f>
        <v>2</v>
      </c>
      <c r="B13" s="23" t="s">
        <v>28</v>
      </c>
      <c r="C13" s="66" t="str">
        <f>'Invetario de Tablas'!B5</f>
        <v>PUBLICACION</v>
      </c>
      <c r="D13" s="57"/>
      <c r="E13" s="57"/>
      <c r="F13" s="58"/>
      <c r="G13" s="67" t="s">
        <v>29</v>
      </c>
      <c r="H13" s="49"/>
      <c r="I13" s="49"/>
      <c r="J13" s="50"/>
      <c r="K13" s="68" t="str">
        <f>'Invetario de Tablas'!C5</f>
        <v>Contenido compartido por los usuarios.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8"/>
      <c r="X13" s="24" t="s">
        <v>32</v>
      </c>
      <c r="Y13" s="14">
        <v>1</v>
      </c>
    </row>
    <row r="14" spans="1:25" ht="30" customHeight="1" thickTop="1" x14ac:dyDescent="0.25">
      <c r="A14" s="25" t="s">
        <v>1</v>
      </c>
      <c r="B14" s="26" t="s">
        <v>33</v>
      </c>
      <c r="C14" s="59" t="s">
        <v>34</v>
      </c>
      <c r="D14" s="36"/>
      <c r="E14" s="36"/>
      <c r="F14" s="60"/>
      <c r="G14" s="61" t="s">
        <v>45</v>
      </c>
      <c r="H14" s="69"/>
      <c r="I14" s="69"/>
      <c r="J14" s="70"/>
      <c r="K14" s="59" t="s">
        <v>36</v>
      </c>
      <c r="L14" s="36"/>
      <c r="M14" s="36"/>
      <c r="N14" s="60"/>
      <c r="O14" s="59" t="s">
        <v>37</v>
      </c>
      <c r="P14" s="36"/>
      <c r="Q14" s="60"/>
      <c r="R14" s="59" t="s">
        <v>38</v>
      </c>
      <c r="S14" s="60"/>
      <c r="T14" s="59" t="s">
        <v>39</v>
      </c>
      <c r="U14" s="60"/>
      <c r="V14" s="59" t="s">
        <v>40</v>
      </c>
      <c r="W14" s="60"/>
      <c r="X14" s="61" t="s">
        <v>41</v>
      </c>
      <c r="Y14" s="62"/>
    </row>
    <row r="15" spans="1:25" ht="30" customHeight="1" x14ac:dyDescent="0.25">
      <c r="A15" s="18">
        <v>1</v>
      </c>
      <c r="B15" s="16" t="s">
        <v>137</v>
      </c>
      <c r="C15" s="79" t="s">
        <v>138</v>
      </c>
      <c r="D15" s="80"/>
      <c r="E15" s="80"/>
      <c r="F15" s="81"/>
      <c r="G15" s="79" t="s">
        <v>55</v>
      </c>
      <c r="H15" s="80" t="s">
        <v>55</v>
      </c>
      <c r="I15" s="80" t="s">
        <v>55</v>
      </c>
      <c r="J15" s="81" t="s">
        <v>55</v>
      </c>
      <c r="K15" s="42"/>
      <c r="L15" s="38"/>
      <c r="M15" s="38"/>
      <c r="N15" s="39"/>
      <c r="O15" s="82" t="s">
        <v>106</v>
      </c>
      <c r="P15" s="38"/>
      <c r="Q15" s="39"/>
      <c r="R15" s="82" t="s">
        <v>107</v>
      </c>
      <c r="S15" s="39"/>
      <c r="T15" s="42"/>
      <c r="U15" s="39"/>
      <c r="V15" s="42"/>
      <c r="W15" s="39"/>
      <c r="X15" s="42"/>
      <c r="Y15" s="43"/>
    </row>
    <row r="16" spans="1:25" ht="30" customHeight="1" x14ac:dyDescent="0.25">
      <c r="A16" s="18">
        <v>2</v>
      </c>
      <c r="B16" s="16" t="s">
        <v>104</v>
      </c>
      <c r="C16" s="79" t="s">
        <v>194</v>
      </c>
      <c r="D16" s="80"/>
      <c r="E16" s="80"/>
      <c r="F16" s="81"/>
      <c r="G16" s="79" t="s">
        <v>55</v>
      </c>
      <c r="H16" s="80" t="s">
        <v>55</v>
      </c>
      <c r="I16" s="80" t="s">
        <v>55</v>
      </c>
      <c r="J16" s="81" t="s">
        <v>55</v>
      </c>
      <c r="K16" s="42"/>
      <c r="L16" s="38"/>
      <c r="M16" s="38"/>
      <c r="N16" s="39"/>
      <c r="O16" s="82" t="s">
        <v>106</v>
      </c>
      <c r="P16" s="38"/>
      <c r="Q16" s="39"/>
      <c r="R16" s="42"/>
      <c r="S16" s="39"/>
      <c r="T16" s="82" t="s">
        <v>107</v>
      </c>
      <c r="U16" s="39"/>
      <c r="V16" s="42"/>
      <c r="W16" s="39"/>
      <c r="X16" s="82" t="s">
        <v>140</v>
      </c>
      <c r="Y16" s="43"/>
    </row>
    <row r="17" spans="1:25" ht="30" customHeight="1" x14ac:dyDescent="0.25">
      <c r="A17" s="18">
        <v>3</v>
      </c>
      <c r="B17" s="16" t="s">
        <v>141</v>
      </c>
      <c r="C17" s="79" t="s">
        <v>142</v>
      </c>
      <c r="D17" s="80" t="s">
        <v>142</v>
      </c>
      <c r="E17" s="80" t="s">
        <v>142</v>
      </c>
      <c r="F17" s="81" t="s">
        <v>142</v>
      </c>
      <c r="G17" s="79" t="s">
        <v>61</v>
      </c>
      <c r="H17" s="80" t="s">
        <v>61</v>
      </c>
      <c r="I17" s="80" t="s">
        <v>61</v>
      </c>
      <c r="J17" s="81" t="s">
        <v>61</v>
      </c>
      <c r="K17" s="42"/>
      <c r="L17" s="38"/>
      <c r="M17" s="38"/>
      <c r="N17" s="39"/>
      <c r="O17" s="82" t="s">
        <v>123</v>
      </c>
      <c r="P17" s="38"/>
      <c r="Q17" s="39"/>
      <c r="R17" s="42"/>
      <c r="S17" s="39"/>
      <c r="T17" s="42"/>
      <c r="U17" s="39"/>
      <c r="V17" s="42"/>
      <c r="W17" s="39"/>
      <c r="X17" s="82" t="s">
        <v>195</v>
      </c>
      <c r="Y17" s="43"/>
    </row>
    <row r="18" spans="1:25" ht="30" customHeight="1" x14ac:dyDescent="0.25">
      <c r="A18" s="18">
        <v>4</v>
      </c>
      <c r="B18" s="16" t="s">
        <v>196</v>
      </c>
      <c r="C18" s="79" t="s">
        <v>197</v>
      </c>
      <c r="D18" s="80" t="s">
        <v>197</v>
      </c>
      <c r="E18" s="80" t="s">
        <v>197</v>
      </c>
      <c r="F18" s="81" t="s">
        <v>197</v>
      </c>
      <c r="G18" s="79" t="s">
        <v>22</v>
      </c>
      <c r="H18" s="80" t="s">
        <v>22</v>
      </c>
      <c r="I18" s="80" t="s">
        <v>22</v>
      </c>
      <c r="J18" s="81" t="s">
        <v>22</v>
      </c>
      <c r="K18" s="42"/>
      <c r="L18" s="38"/>
      <c r="M18" s="38"/>
      <c r="N18" s="39"/>
      <c r="O18" s="82" t="s">
        <v>123</v>
      </c>
      <c r="P18" s="38"/>
      <c r="Q18" s="39"/>
      <c r="R18" s="42"/>
      <c r="S18" s="39"/>
      <c r="T18" s="42"/>
      <c r="U18" s="39"/>
      <c r="V18" s="42"/>
      <c r="W18" s="39"/>
      <c r="X18" s="82" t="s">
        <v>199</v>
      </c>
      <c r="Y18" s="43"/>
    </row>
    <row r="19" spans="1:25" ht="30" customHeight="1" thickBot="1" x14ac:dyDescent="0.3">
      <c r="A19" s="19">
        <v>5</v>
      </c>
      <c r="B19" s="124" t="s">
        <v>145</v>
      </c>
      <c r="C19" s="125" t="s">
        <v>198</v>
      </c>
      <c r="D19" s="126"/>
      <c r="E19" s="126"/>
      <c r="F19" s="127"/>
      <c r="G19" s="125" t="s">
        <v>66</v>
      </c>
      <c r="H19" s="126" t="s">
        <v>66</v>
      </c>
      <c r="I19" s="126" t="s">
        <v>66</v>
      </c>
      <c r="J19" s="127" t="s">
        <v>66</v>
      </c>
      <c r="K19" s="52"/>
      <c r="L19" s="46"/>
      <c r="M19" s="46"/>
      <c r="N19" s="53"/>
      <c r="O19" s="128" t="s">
        <v>106</v>
      </c>
      <c r="P19" s="46"/>
      <c r="Q19" s="53"/>
      <c r="R19" s="52"/>
      <c r="S19" s="53"/>
      <c r="T19" s="52"/>
      <c r="U19" s="53"/>
      <c r="V19" s="52"/>
      <c r="W19" s="53"/>
      <c r="X19" s="52"/>
      <c r="Y19" s="47"/>
    </row>
    <row r="20" spans="1:25" ht="48" customHeight="1" thickTop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40.5" customHeight="1" x14ac:dyDescent="0.25">
      <c r="A21" s="54" t="s">
        <v>46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"/>
    <row r="23" spans="1:25" ht="30" customHeight="1" thickTop="1" thickBot="1" x14ac:dyDescent="0.3">
      <c r="A23" s="22">
        <f>'Invetario de Tablas'!A6</f>
        <v>3</v>
      </c>
      <c r="B23" s="23" t="s">
        <v>28</v>
      </c>
      <c r="C23" s="66" t="str">
        <f>'Invetario de Tablas'!B6</f>
        <v>GRUPO_ESTUDIO</v>
      </c>
      <c r="D23" s="57"/>
      <c r="E23" s="57"/>
      <c r="F23" s="58"/>
      <c r="G23" s="67" t="s">
        <v>29</v>
      </c>
      <c r="H23" s="49"/>
      <c r="I23" s="49"/>
      <c r="J23" s="50"/>
      <c r="K23" s="68" t="str">
        <f>'Invetario de Tablas'!C6</f>
        <v>Espacios para materias o intereses.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8"/>
      <c r="X23" s="24" t="s">
        <v>32</v>
      </c>
      <c r="Y23" s="14">
        <v>1</v>
      </c>
    </row>
    <row r="24" spans="1:25" ht="30" customHeight="1" thickTop="1" x14ac:dyDescent="0.25">
      <c r="A24" s="25" t="s">
        <v>1</v>
      </c>
      <c r="B24" s="26" t="s">
        <v>33</v>
      </c>
      <c r="C24" s="59" t="s">
        <v>34</v>
      </c>
      <c r="D24" s="36"/>
      <c r="E24" s="36"/>
      <c r="F24" s="60"/>
      <c r="G24" s="61" t="s">
        <v>45</v>
      </c>
      <c r="H24" s="69"/>
      <c r="I24" s="69"/>
      <c r="J24" s="70"/>
      <c r="K24" s="59" t="s">
        <v>36</v>
      </c>
      <c r="L24" s="36"/>
      <c r="M24" s="36"/>
      <c r="N24" s="60"/>
      <c r="O24" s="59" t="s">
        <v>37</v>
      </c>
      <c r="P24" s="36"/>
      <c r="Q24" s="60"/>
      <c r="R24" s="59" t="s">
        <v>38</v>
      </c>
      <c r="S24" s="60"/>
      <c r="T24" s="59" t="s">
        <v>39</v>
      </c>
      <c r="U24" s="60"/>
      <c r="V24" s="59" t="s">
        <v>40</v>
      </c>
      <c r="W24" s="60"/>
      <c r="X24" s="61" t="s">
        <v>41</v>
      </c>
      <c r="Y24" s="62"/>
    </row>
    <row r="25" spans="1:25" ht="30" customHeight="1" x14ac:dyDescent="0.25">
      <c r="A25" s="18">
        <v>1</v>
      </c>
      <c r="B25" s="16" t="s">
        <v>150</v>
      </c>
      <c r="C25" s="79" t="s">
        <v>151</v>
      </c>
      <c r="D25" s="80"/>
      <c r="E25" s="80"/>
      <c r="F25" s="81"/>
      <c r="G25" s="79" t="s">
        <v>55</v>
      </c>
      <c r="H25" s="80" t="s">
        <v>55</v>
      </c>
      <c r="I25" s="80" t="s">
        <v>55</v>
      </c>
      <c r="J25" s="81" t="s">
        <v>55</v>
      </c>
      <c r="K25" s="42"/>
      <c r="L25" s="38"/>
      <c r="M25" s="38"/>
      <c r="N25" s="39"/>
      <c r="O25" s="82" t="s">
        <v>106</v>
      </c>
      <c r="P25" s="38"/>
      <c r="Q25" s="39"/>
      <c r="R25" s="82" t="s">
        <v>107</v>
      </c>
      <c r="S25" s="39"/>
      <c r="T25" s="42"/>
      <c r="U25" s="39"/>
      <c r="V25" s="42"/>
      <c r="W25" s="39"/>
      <c r="X25" s="42"/>
      <c r="Y25" s="43"/>
    </row>
    <row r="26" spans="1:25" ht="30" customHeight="1" x14ac:dyDescent="0.25">
      <c r="A26" s="18">
        <v>2</v>
      </c>
      <c r="B26" s="16" t="s">
        <v>152</v>
      </c>
      <c r="C26" s="79" t="s">
        <v>200</v>
      </c>
      <c r="D26" s="80" t="s">
        <v>200</v>
      </c>
      <c r="E26" s="80" t="s">
        <v>200</v>
      </c>
      <c r="F26" s="81" t="s">
        <v>200</v>
      </c>
      <c r="G26" s="79" t="s">
        <v>184</v>
      </c>
      <c r="H26" s="80" t="s">
        <v>184</v>
      </c>
      <c r="I26" s="80" t="s">
        <v>184</v>
      </c>
      <c r="J26" s="81" t="s">
        <v>184</v>
      </c>
      <c r="K26" s="42">
        <v>100</v>
      </c>
      <c r="L26" s="38"/>
      <c r="M26" s="38"/>
      <c r="N26" s="39"/>
      <c r="O26" s="82" t="s">
        <v>106</v>
      </c>
      <c r="P26" s="38"/>
      <c r="Q26" s="39"/>
      <c r="R26" s="42"/>
      <c r="S26" s="39"/>
      <c r="T26" s="82"/>
      <c r="U26" s="39"/>
      <c r="V26" s="42"/>
      <c r="W26" s="39"/>
      <c r="X26" s="82"/>
      <c r="Y26" s="43"/>
    </row>
    <row r="27" spans="1:25" ht="30" customHeight="1" x14ac:dyDescent="0.25">
      <c r="A27" s="18">
        <v>3</v>
      </c>
      <c r="B27" s="16" t="s">
        <v>201</v>
      </c>
      <c r="C27" s="79" t="s">
        <v>202</v>
      </c>
      <c r="D27" s="80" t="s">
        <v>202</v>
      </c>
      <c r="E27" s="80" t="s">
        <v>202</v>
      </c>
      <c r="F27" s="81" t="s">
        <v>202</v>
      </c>
      <c r="G27" s="79" t="s">
        <v>55</v>
      </c>
      <c r="H27" s="80" t="s">
        <v>55</v>
      </c>
      <c r="I27" s="80" t="s">
        <v>55</v>
      </c>
      <c r="J27" s="81" t="s">
        <v>55</v>
      </c>
      <c r="K27" s="42"/>
      <c r="L27" s="38"/>
      <c r="M27" s="38"/>
      <c r="N27" s="39"/>
      <c r="O27" s="82" t="s">
        <v>106</v>
      </c>
      <c r="P27" s="38"/>
      <c r="Q27" s="39"/>
      <c r="R27" s="42"/>
      <c r="S27" s="39"/>
      <c r="T27" s="82" t="s">
        <v>107</v>
      </c>
      <c r="U27" s="39"/>
      <c r="V27" s="42"/>
      <c r="W27" s="39"/>
      <c r="X27" s="82" t="s">
        <v>203</v>
      </c>
      <c r="Y27" s="43"/>
    </row>
    <row r="28" spans="1:25" ht="30" customHeight="1" thickBot="1" x14ac:dyDescent="0.3">
      <c r="A28" s="19">
        <v>4</v>
      </c>
      <c r="B28" s="124" t="s">
        <v>204</v>
      </c>
      <c r="C28" s="129" t="s">
        <v>205</v>
      </c>
      <c r="D28" s="130"/>
      <c r="E28" s="130"/>
      <c r="F28" s="131"/>
      <c r="G28" s="129" t="s">
        <v>19</v>
      </c>
      <c r="H28" s="130" t="s">
        <v>19</v>
      </c>
      <c r="I28" s="130" t="s">
        <v>19</v>
      </c>
      <c r="J28" s="131" t="s">
        <v>19</v>
      </c>
      <c r="K28" s="52"/>
      <c r="L28" s="46"/>
      <c r="M28" s="46"/>
      <c r="N28" s="53"/>
      <c r="O28" s="128" t="s">
        <v>106</v>
      </c>
      <c r="P28" s="46"/>
      <c r="Q28" s="53"/>
      <c r="R28" s="52"/>
      <c r="S28" s="53"/>
      <c r="T28" s="52"/>
      <c r="U28" s="53"/>
      <c r="V28" s="52"/>
      <c r="W28" s="53"/>
      <c r="X28" s="128" t="s">
        <v>206</v>
      </c>
      <c r="Y28" s="47"/>
    </row>
    <row r="29" spans="1:25" ht="48" customHeight="1" thickTop="1" thickBot="1" x14ac:dyDescent="0.3"/>
    <row r="30" spans="1:25" ht="30" customHeight="1" thickTop="1" thickBot="1" x14ac:dyDescent="0.3">
      <c r="A30" s="22">
        <f>'Invetario de Tablas'!A7</f>
        <v>4</v>
      </c>
      <c r="B30" s="23" t="s">
        <v>28</v>
      </c>
      <c r="C30" s="66" t="str">
        <f>'Invetario de Tablas'!B7</f>
        <v>MIEMBRO_GRUPO (Intermedia)</v>
      </c>
      <c r="D30" s="57"/>
      <c r="E30" s="57"/>
      <c r="F30" s="58"/>
      <c r="G30" s="67" t="s">
        <v>29</v>
      </c>
      <c r="H30" s="49"/>
      <c r="I30" s="49"/>
      <c r="J30" s="50"/>
      <c r="K30" s="68" t="str">
        <f>'Invetario de Tablas'!C7</f>
        <v>Relación N:M entre usuarios y grupos.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8"/>
      <c r="X30" s="24" t="s">
        <v>32</v>
      </c>
      <c r="Y30" s="14">
        <v>1</v>
      </c>
    </row>
    <row r="31" spans="1:25" ht="30" customHeight="1" thickTop="1" x14ac:dyDescent="0.25">
      <c r="A31" s="25" t="s">
        <v>1</v>
      </c>
      <c r="B31" s="26" t="s">
        <v>33</v>
      </c>
      <c r="C31" s="59" t="s">
        <v>34</v>
      </c>
      <c r="D31" s="36"/>
      <c r="E31" s="36"/>
      <c r="F31" s="60"/>
      <c r="G31" s="61" t="s">
        <v>45</v>
      </c>
      <c r="H31" s="69"/>
      <c r="I31" s="69"/>
      <c r="J31" s="70"/>
      <c r="K31" s="59" t="s">
        <v>36</v>
      </c>
      <c r="L31" s="36"/>
      <c r="M31" s="36"/>
      <c r="N31" s="60"/>
      <c r="O31" s="59" t="s">
        <v>37</v>
      </c>
      <c r="P31" s="36"/>
      <c r="Q31" s="60"/>
      <c r="R31" s="59" t="s">
        <v>38</v>
      </c>
      <c r="S31" s="60"/>
      <c r="T31" s="59" t="s">
        <v>39</v>
      </c>
      <c r="U31" s="60"/>
      <c r="V31" s="59" t="s">
        <v>40</v>
      </c>
      <c r="W31" s="60"/>
      <c r="X31" s="61" t="s">
        <v>41</v>
      </c>
      <c r="Y31" s="62"/>
    </row>
    <row r="32" spans="1:25" ht="30" customHeight="1" x14ac:dyDescent="0.25">
      <c r="A32" s="18">
        <v>1</v>
      </c>
      <c r="B32" s="16" t="s">
        <v>104</v>
      </c>
      <c r="C32" s="79" t="s">
        <v>207</v>
      </c>
      <c r="D32" s="80"/>
      <c r="E32" s="80"/>
      <c r="F32" s="81"/>
      <c r="G32" s="79" t="s">
        <v>55</v>
      </c>
      <c r="H32" s="80" t="s">
        <v>55</v>
      </c>
      <c r="I32" s="80" t="s">
        <v>55</v>
      </c>
      <c r="J32" s="81" t="s">
        <v>55</v>
      </c>
      <c r="K32" s="42"/>
      <c r="L32" s="38"/>
      <c r="M32" s="38"/>
      <c r="N32" s="39"/>
      <c r="O32" s="82" t="s">
        <v>106</v>
      </c>
      <c r="P32" s="38"/>
      <c r="Q32" s="39"/>
      <c r="R32" s="82" t="s">
        <v>107</v>
      </c>
      <c r="S32" s="39"/>
      <c r="T32" s="82" t="s">
        <v>107</v>
      </c>
      <c r="U32" s="39"/>
      <c r="V32" s="42"/>
      <c r="W32" s="39"/>
      <c r="X32" s="82" t="s">
        <v>159</v>
      </c>
      <c r="Y32" s="43"/>
    </row>
    <row r="33" spans="1:25" ht="30" customHeight="1" x14ac:dyDescent="0.25">
      <c r="A33" s="18">
        <v>2</v>
      </c>
      <c r="B33" s="16" t="s">
        <v>150</v>
      </c>
      <c r="C33" s="132" t="s">
        <v>151</v>
      </c>
      <c r="D33" s="133"/>
      <c r="E33" s="133"/>
      <c r="F33" s="134"/>
      <c r="G33" s="79" t="s">
        <v>55</v>
      </c>
      <c r="H33" s="80" t="s">
        <v>55</v>
      </c>
      <c r="I33" s="80" t="s">
        <v>55</v>
      </c>
      <c r="J33" s="81" t="s">
        <v>55</v>
      </c>
      <c r="K33" s="42"/>
      <c r="L33" s="38"/>
      <c r="M33" s="38"/>
      <c r="N33" s="39"/>
      <c r="O33" s="82" t="s">
        <v>106</v>
      </c>
      <c r="P33" s="38"/>
      <c r="Q33" s="39"/>
      <c r="R33" s="82" t="s">
        <v>107</v>
      </c>
      <c r="S33" s="39"/>
      <c r="T33" s="82" t="s">
        <v>107</v>
      </c>
      <c r="U33" s="39"/>
      <c r="V33" s="42"/>
      <c r="W33" s="39"/>
      <c r="X33" s="82" t="s">
        <v>159</v>
      </c>
      <c r="Y33" s="43"/>
    </row>
    <row r="34" spans="1:25" ht="30" customHeight="1" thickBot="1" x14ac:dyDescent="0.3">
      <c r="A34" s="19">
        <v>3</v>
      </c>
      <c r="B34" s="124" t="s">
        <v>208</v>
      </c>
      <c r="C34" s="129" t="s">
        <v>209</v>
      </c>
      <c r="D34" s="130"/>
      <c r="E34" s="130"/>
      <c r="F34" s="131"/>
      <c r="G34" s="125" t="s">
        <v>64</v>
      </c>
      <c r="H34" s="126" t="s">
        <v>66</v>
      </c>
      <c r="I34" s="126" t="s">
        <v>66</v>
      </c>
      <c r="J34" s="127" t="s">
        <v>66</v>
      </c>
      <c r="K34" s="52"/>
      <c r="L34" s="46"/>
      <c r="M34" s="46"/>
      <c r="N34" s="53"/>
      <c r="O34" s="128" t="s">
        <v>106</v>
      </c>
      <c r="P34" s="46"/>
      <c r="Q34" s="53"/>
      <c r="R34" s="52"/>
      <c r="S34" s="53"/>
      <c r="T34" s="52"/>
      <c r="U34" s="53"/>
      <c r="V34" s="52"/>
      <c r="W34" s="53"/>
      <c r="X34" s="52"/>
      <c r="Y34" s="47"/>
    </row>
    <row r="35" spans="1:25" ht="48" customHeight="1" thickTop="1" thickBot="1" x14ac:dyDescent="0.3"/>
    <row r="36" spans="1:25" ht="30" customHeight="1" thickTop="1" thickBot="1" x14ac:dyDescent="0.3">
      <c r="A36" s="22">
        <f>'Invetario de Tablas'!A8</f>
        <v>5</v>
      </c>
      <c r="B36" s="23" t="s">
        <v>28</v>
      </c>
      <c r="C36" s="66" t="str">
        <f>'Invetario de Tablas'!B8</f>
        <v>EVENTO</v>
      </c>
      <c r="D36" s="57"/>
      <c r="E36" s="57"/>
      <c r="F36" s="58"/>
      <c r="G36" s="67" t="s">
        <v>29</v>
      </c>
      <c r="H36" s="49"/>
      <c r="I36" s="49"/>
      <c r="J36" s="50"/>
      <c r="K36" s="68" t="str">
        <f>'Invetario de Tablas'!C8</f>
        <v>Actividades programadas (Talleres, reuniones).</v>
      </c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8"/>
      <c r="X36" s="24" t="s">
        <v>32</v>
      </c>
      <c r="Y36" s="14">
        <v>1</v>
      </c>
    </row>
    <row r="37" spans="1:25" ht="30" customHeight="1" thickTop="1" x14ac:dyDescent="0.25">
      <c r="A37" s="25" t="s">
        <v>1</v>
      </c>
      <c r="B37" s="26" t="s">
        <v>33</v>
      </c>
      <c r="C37" s="59" t="s">
        <v>34</v>
      </c>
      <c r="D37" s="36"/>
      <c r="E37" s="36"/>
      <c r="F37" s="60"/>
      <c r="G37" s="61" t="s">
        <v>45</v>
      </c>
      <c r="H37" s="69"/>
      <c r="I37" s="69"/>
      <c r="J37" s="70"/>
      <c r="K37" s="59" t="s">
        <v>36</v>
      </c>
      <c r="L37" s="36"/>
      <c r="M37" s="36"/>
      <c r="N37" s="60"/>
      <c r="O37" s="59" t="s">
        <v>37</v>
      </c>
      <c r="P37" s="36"/>
      <c r="Q37" s="60"/>
      <c r="R37" s="59" t="s">
        <v>38</v>
      </c>
      <c r="S37" s="60"/>
      <c r="T37" s="59" t="s">
        <v>39</v>
      </c>
      <c r="U37" s="60"/>
      <c r="V37" s="59" t="s">
        <v>40</v>
      </c>
      <c r="W37" s="60"/>
      <c r="X37" s="61" t="s">
        <v>41</v>
      </c>
      <c r="Y37" s="62"/>
    </row>
    <row r="38" spans="1:25" ht="30" customHeight="1" x14ac:dyDescent="0.25">
      <c r="A38" s="18">
        <v>1</v>
      </c>
      <c r="B38" s="16" t="s">
        <v>137</v>
      </c>
      <c r="C38" s="79" t="s">
        <v>164</v>
      </c>
      <c r="D38" s="80"/>
      <c r="E38" s="80"/>
      <c r="F38" s="81"/>
      <c r="G38" s="79" t="s">
        <v>55</v>
      </c>
      <c r="H38" s="80" t="s">
        <v>55</v>
      </c>
      <c r="I38" s="80" t="s">
        <v>55</v>
      </c>
      <c r="J38" s="81" t="s">
        <v>55</v>
      </c>
      <c r="K38" s="42"/>
      <c r="L38" s="38"/>
      <c r="M38" s="38"/>
      <c r="N38" s="39"/>
      <c r="O38" s="82" t="s">
        <v>106</v>
      </c>
      <c r="P38" s="38"/>
      <c r="Q38" s="39"/>
      <c r="R38" s="82" t="s">
        <v>107</v>
      </c>
      <c r="S38" s="39"/>
      <c r="T38" s="42"/>
      <c r="U38" s="39"/>
      <c r="V38" s="42"/>
      <c r="W38" s="39"/>
      <c r="X38" s="42"/>
      <c r="Y38" s="43"/>
    </row>
    <row r="39" spans="1:25" ht="30" customHeight="1" x14ac:dyDescent="0.25">
      <c r="A39" s="18">
        <v>2</v>
      </c>
      <c r="B39" s="16" t="s">
        <v>104</v>
      </c>
      <c r="C39" s="79" t="s">
        <v>210</v>
      </c>
      <c r="D39" s="80" t="s">
        <v>210</v>
      </c>
      <c r="E39" s="80" t="s">
        <v>210</v>
      </c>
      <c r="F39" s="81" t="s">
        <v>210</v>
      </c>
      <c r="G39" s="79" t="s">
        <v>184</v>
      </c>
      <c r="H39" s="80" t="s">
        <v>184</v>
      </c>
      <c r="I39" s="80" t="s">
        <v>184</v>
      </c>
      <c r="J39" s="81" t="s">
        <v>184</v>
      </c>
      <c r="K39" s="42">
        <v>150</v>
      </c>
      <c r="L39" s="38"/>
      <c r="M39" s="38"/>
      <c r="N39" s="39"/>
      <c r="O39" s="82" t="s">
        <v>106</v>
      </c>
      <c r="P39" s="38"/>
      <c r="Q39" s="39"/>
      <c r="R39" s="42"/>
      <c r="S39" s="39"/>
      <c r="T39" s="82"/>
      <c r="U39" s="39"/>
      <c r="V39" s="42"/>
      <c r="W39" s="39"/>
      <c r="X39" s="82"/>
      <c r="Y39" s="43"/>
    </row>
    <row r="40" spans="1:25" ht="30" customHeight="1" x14ac:dyDescent="0.25">
      <c r="A40" s="18">
        <v>3</v>
      </c>
      <c r="B40" s="16" t="s">
        <v>141</v>
      </c>
      <c r="C40" s="79" t="s">
        <v>211</v>
      </c>
      <c r="D40" s="80" t="s">
        <v>211</v>
      </c>
      <c r="E40" s="80" t="s">
        <v>211</v>
      </c>
      <c r="F40" s="81" t="s">
        <v>211</v>
      </c>
      <c r="G40" s="79" t="s">
        <v>66</v>
      </c>
      <c r="H40" s="80" t="s">
        <v>66</v>
      </c>
      <c r="I40" s="80" t="s">
        <v>66</v>
      </c>
      <c r="J40" s="81" t="s">
        <v>66</v>
      </c>
      <c r="K40" s="42"/>
      <c r="L40" s="38"/>
      <c r="M40" s="38"/>
      <c r="N40" s="39"/>
      <c r="O40" s="82" t="s">
        <v>106</v>
      </c>
      <c r="P40" s="38"/>
      <c r="Q40" s="39"/>
      <c r="R40" s="42"/>
      <c r="S40" s="39"/>
      <c r="T40" s="42"/>
      <c r="U40" s="39"/>
      <c r="V40" s="42"/>
      <c r="W40" s="39"/>
      <c r="X40" s="82"/>
      <c r="Y40" s="43"/>
    </row>
    <row r="41" spans="1:25" ht="30" customHeight="1" thickBot="1" x14ac:dyDescent="0.3">
      <c r="A41" s="19">
        <v>4</v>
      </c>
      <c r="B41" s="124" t="s">
        <v>145</v>
      </c>
      <c r="C41" s="129" t="s">
        <v>212</v>
      </c>
      <c r="D41" s="130"/>
      <c r="E41" s="130"/>
      <c r="F41" s="131"/>
      <c r="G41" s="129" t="s">
        <v>66</v>
      </c>
      <c r="H41" s="130" t="s">
        <v>66</v>
      </c>
      <c r="I41" s="130" t="s">
        <v>66</v>
      </c>
      <c r="J41" s="131" t="s">
        <v>66</v>
      </c>
      <c r="K41" s="52"/>
      <c r="L41" s="46"/>
      <c r="M41" s="46"/>
      <c r="N41" s="53"/>
      <c r="O41" s="128" t="s">
        <v>106</v>
      </c>
      <c r="P41" s="46"/>
      <c r="Q41" s="53"/>
      <c r="R41" s="52"/>
      <c r="S41" s="53"/>
      <c r="T41" s="52"/>
      <c r="U41" s="53"/>
      <c r="V41" s="52"/>
      <c r="W41" s="53"/>
      <c r="X41" s="128" t="s">
        <v>172</v>
      </c>
      <c r="Y41" s="47"/>
    </row>
    <row r="42" spans="1:25" ht="48" customHeight="1" thickTop="1" thickBot="1" x14ac:dyDescent="0.3"/>
    <row r="43" spans="1:25" ht="30" customHeight="1" thickTop="1" thickBot="1" x14ac:dyDescent="0.3">
      <c r="A43" s="22">
        <f>'Invetario de Tablas'!A9</f>
        <v>6</v>
      </c>
      <c r="B43" s="23" t="s">
        <v>28</v>
      </c>
      <c r="C43" s="66" t="str">
        <f>'Invetario de Tablas'!B9</f>
        <v>COMENTARIO</v>
      </c>
      <c r="D43" s="57"/>
      <c r="E43" s="57"/>
      <c r="F43" s="58"/>
      <c r="G43" s="67" t="s">
        <v>29</v>
      </c>
      <c r="H43" s="49"/>
      <c r="I43" s="49"/>
      <c r="J43" s="50"/>
      <c r="K43" s="68" t="str">
        <f>'Invetario de Tablas'!C9</f>
        <v>Respuestas a publicaciones.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8"/>
      <c r="X43" s="24" t="s">
        <v>32</v>
      </c>
      <c r="Y43" s="14">
        <v>1</v>
      </c>
    </row>
    <row r="44" spans="1:25" ht="30" customHeight="1" thickTop="1" x14ac:dyDescent="0.25">
      <c r="A44" s="25" t="s">
        <v>1</v>
      </c>
      <c r="B44" s="26" t="s">
        <v>33</v>
      </c>
      <c r="C44" s="59" t="s">
        <v>34</v>
      </c>
      <c r="D44" s="36"/>
      <c r="E44" s="36"/>
      <c r="F44" s="60"/>
      <c r="G44" s="61" t="s">
        <v>45</v>
      </c>
      <c r="H44" s="69"/>
      <c r="I44" s="69"/>
      <c r="J44" s="70"/>
      <c r="K44" s="59" t="s">
        <v>36</v>
      </c>
      <c r="L44" s="36"/>
      <c r="M44" s="36"/>
      <c r="N44" s="60"/>
      <c r="O44" s="59" t="s">
        <v>37</v>
      </c>
      <c r="P44" s="36"/>
      <c r="Q44" s="60"/>
      <c r="R44" s="59" t="s">
        <v>38</v>
      </c>
      <c r="S44" s="60"/>
      <c r="T44" s="59" t="s">
        <v>39</v>
      </c>
      <c r="U44" s="60"/>
      <c r="V44" s="59" t="s">
        <v>40</v>
      </c>
      <c r="W44" s="60"/>
      <c r="X44" s="61" t="s">
        <v>41</v>
      </c>
      <c r="Y44" s="62"/>
    </row>
    <row r="45" spans="1:25" ht="30" customHeight="1" x14ac:dyDescent="0.25">
      <c r="A45" s="18">
        <v>1</v>
      </c>
      <c r="B45" s="16" t="s">
        <v>137</v>
      </c>
      <c r="C45" s="79" t="s">
        <v>213</v>
      </c>
      <c r="D45" s="80"/>
      <c r="E45" s="80"/>
      <c r="F45" s="81"/>
      <c r="G45" s="79" t="s">
        <v>55</v>
      </c>
      <c r="H45" s="80" t="s">
        <v>55</v>
      </c>
      <c r="I45" s="80" t="s">
        <v>55</v>
      </c>
      <c r="J45" s="81" t="s">
        <v>55</v>
      </c>
      <c r="K45" s="42"/>
      <c r="L45" s="38"/>
      <c r="M45" s="38"/>
      <c r="N45" s="39"/>
      <c r="O45" s="82" t="s">
        <v>106</v>
      </c>
      <c r="P45" s="38"/>
      <c r="Q45" s="39"/>
      <c r="R45" s="82" t="s">
        <v>107</v>
      </c>
      <c r="S45" s="39"/>
      <c r="T45" s="82" t="s">
        <v>107</v>
      </c>
      <c r="U45" s="39"/>
      <c r="V45" s="42"/>
      <c r="W45" s="39"/>
      <c r="X45" s="82" t="s">
        <v>159</v>
      </c>
      <c r="Y45" s="43"/>
    </row>
    <row r="46" spans="1:25" ht="30" customHeight="1" x14ac:dyDescent="0.25">
      <c r="A46" s="18">
        <v>2</v>
      </c>
      <c r="B46" s="16" t="s">
        <v>104</v>
      </c>
      <c r="C46" s="79" t="s">
        <v>214</v>
      </c>
      <c r="D46" s="80" t="s">
        <v>214</v>
      </c>
      <c r="E46" s="80" t="s">
        <v>214</v>
      </c>
      <c r="F46" s="81" t="s">
        <v>214</v>
      </c>
      <c r="G46" s="79" t="s">
        <v>55</v>
      </c>
      <c r="H46" s="80" t="s">
        <v>55</v>
      </c>
      <c r="I46" s="80" t="s">
        <v>55</v>
      </c>
      <c r="J46" s="81" t="s">
        <v>55</v>
      </c>
      <c r="K46" s="42"/>
      <c r="L46" s="38"/>
      <c r="M46" s="38"/>
      <c r="N46" s="39"/>
      <c r="O46" s="82" t="s">
        <v>106</v>
      </c>
      <c r="P46" s="38"/>
      <c r="Q46" s="39"/>
      <c r="R46" s="82" t="s">
        <v>107</v>
      </c>
      <c r="S46" s="39"/>
      <c r="T46" s="82" t="s">
        <v>107</v>
      </c>
      <c r="U46" s="39"/>
      <c r="V46" s="42"/>
      <c r="W46" s="39"/>
      <c r="X46" s="82" t="s">
        <v>159</v>
      </c>
      <c r="Y46" s="43"/>
    </row>
    <row r="47" spans="1:25" ht="30" customHeight="1" thickBot="1" x14ac:dyDescent="0.3">
      <c r="A47" s="19">
        <v>3</v>
      </c>
      <c r="B47" s="124" t="s">
        <v>215</v>
      </c>
      <c r="C47" s="129" t="s">
        <v>216</v>
      </c>
      <c r="D47" s="130"/>
      <c r="E47" s="130"/>
      <c r="F47" s="131"/>
      <c r="G47" s="129" t="s">
        <v>184</v>
      </c>
      <c r="H47" s="130" t="s">
        <v>184</v>
      </c>
      <c r="I47" s="130" t="s">
        <v>184</v>
      </c>
      <c r="J47" s="131" t="s">
        <v>184</v>
      </c>
      <c r="K47" s="52">
        <v>20</v>
      </c>
      <c r="L47" s="46"/>
      <c r="M47" s="46"/>
      <c r="N47" s="53"/>
      <c r="O47" s="128" t="s">
        <v>106</v>
      </c>
      <c r="P47" s="46"/>
      <c r="Q47" s="53"/>
      <c r="R47" s="52"/>
      <c r="S47" s="53"/>
      <c r="T47" s="52"/>
      <c r="U47" s="53"/>
      <c r="V47" s="52"/>
      <c r="W47" s="53"/>
      <c r="X47" s="128" t="s">
        <v>217</v>
      </c>
      <c r="Y47" s="47"/>
    </row>
    <row r="48" spans="1:25" ht="15.75" customHeight="1" thickTop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269"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3:F43"/>
    <mergeCell ref="G43:J43"/>
    <mergeCell ref="K43:W43"/>
    <mergeCell ref="C44:F44"/>
    <mergeCell ref="G44:J44"/>
    <mergeCell ref="K44:N44"/>
    <mergeCell ref="O44:Q44"/>
    <mergeCell ref="R44:S44"/>
    <mergeCell ref="T44:U44"/>
    <mergeCell ref="V44:W44"/>
    <mergeCell ref="C41:F41"/>
    <mergeCell ref="G41:J41"/>
    <mergeCell ref="K41:N41"/>
    <mergeCell ref="O41:Q41"/>
    <mergeCell ref="R41:S41"/>
    <mergeCell ref="T41:U41"/>
    <mergeCell ref="V41:W41"/>
    <mergeCell ref="X41:Y41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6:F36"/>
    <mergeCell ref="G36:J36"/>
    <mergeCell ref="K36:W36"/>
    <mergeCell ref="C37:F37"/>
    <mergeCell ref="G37:J37"/>
    <mergeCell ref="K37:N37"/>
    <mergeCell ref="O37:Q37"/>
    <mergeCell ref="R37:S37"/>
    <mergeCell ref="T37:U37"/>
    <mergeCell ref="V37:W37"/>
    <mergeCell ref="C34:F34"/>
    <mergeCell ref="G34:J34"/>
    <mergeCell ref="K34:N34"/>
    <mergeCell ref="O34:Q34"/>
    <mergeCell ref="R34:S34"/>
    <mergeCell ref="T34:U34"/>
    <mergeCell ref="V34:W34"/>
    <mergeCell ref="X34:Y34"/>
    <mergeCell ref="C33:F33"/>
    <mergeCell ref="G33:J33"/>
    <mergeCell ref="K33:N33"/>
    <mergeCell ref="O33:Q33"/>
    <mergeCell ref="R33:S33"/>
    <mergeCell ref="T33:U33"/>
    <mergeCell ref="V33:W33"/>
    <mergeCell ref="X33:Y33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28:F28"/>
    <mergeCell ref="G28:J28"/>
    <mergeCell ref="K28:N28"/>
    <mergeCell ref="O28:Q28"/>
    <mergeCell ref="R28:S28"/>
    <mergeCell ref="T28:U28"/>
    <mergeCell ref="V28:W28"/>
    <mergeCell ref="X28:Y28"/>
    <mergeCell ref="C30:F30"/>
    <mergeCell ref="G30:J30"/>
    <mergeCell ref="K30:W30"/>
    <mergeCell ref="C27:F27"/>
    <mergeCell ref="G27:J27"/>
    <mergeCell ref="X27:Y27"/>
    <mergeCell ref="K27:N27"/>
    <mergeCell ref="O27:Q27"/>
    <mergeCell ref="R27:S27"/>
    <mergeCell ref="T27:U27"/>
    <mergeCell ref="V27:W27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X7:Y7"/>
    <mergeCell ref="V8:W8"/>
    <mergeCell ref="X8:Y8"/>
    <mergeCell ref="V17:W17"/>
    <mergeCell ref="X17:Y17"/>
    <mergeCell ref="C23:F23"/>
    <mergeCell ref="G23:J23"/>
    <mergeCell ref="K23:W23"/>
    <mergeCell ref="C24:F24"/>
    <mergeCell ref="G24:J24"/>
    <mergeCell ref="K24:N24"/>
    <mergeCell ref="O24:Q24"/>
    <mergeCell ref="R24:S24"/>
    <mergeCell ref="T24:U24"/>
    <mergeCell ref="V24:W24"/>
    <mergeCell ref="X24:Y24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21:Y21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V19:W19"/>
    <mergeCell ref="X19:Y19"/>
    <mergeCell ref="C19:F19"/>
    <mergeCell ref="G19:J19"/>
    <mergeCell ref="K19:N19"/>
    <mergeCell ref="O19:Q19"/>
    <mergeCell ref="R19:S19"/>
    <mergeCell ref="T19:U19"/>
    <mergeCell ref="C18:F18"/>
    <mergeCell ref="G18:J18"/>
    <mergeCell ref="K18:N18"/>
    <mergeCell ref="O18:Q18"/>
    <mergeCell ref="R18:S18"/>
    <mergeCell ref="T18:U18"/>
    <mergeCell ref="V18:W18"/>
    <mergeCell ref="X18:Y18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T15:U15"/>
    <mergeCell ref="V15:W15"/>
    <mergeCell ref="X15:Y15"/>
    <mergeCell ref="K14:N14"/>
    <mergeCell ref="O14:Q14"/>
    <mergeCell ref="C15:F15"/>
    <mergeCell ref="G15:J15"/>
    <mergeCell ref="K15:N15"/>
    <mergeCell ref="O15:Q15"/>
    <mergeCell ref="R15:S15"/>
    <mergeCell ref="R14:S14"/>
    <mergeCell ref="T14:U14"/>
    <mergeCell ref="V14:W14"/>
    <mergeCell ref="X14:Y14"/>
    <mergeCell ref="A11:Y11"/>
    <mergeCell ref="C13:F13"/>
    <mergeCell ref="G13:J13"/>
    <mergeCell ref="K13:W13"/>
    <mergeCell ref="C14:F14"/>
    <mergeCell ref="G14:J14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62"/>
  <sheetViews>
    <sheetView tabSelected="1" zoomScale="70" zoomScaleNormal="70" workbookViewId="0">
      <selection activeCell="G7" sqref="G7:J7"/>
    </sheetView>
  </sheetViews>
  <sheetFormatPr baseColWidth="10" defaultColWidth="12.6328125" defaultRowHeight="15" customHeight="1" x14ac:dyDescent="0.25"/>
  <cols>
    <col min="1" max="1" width="5.6328125" customWidth="1"/>
    <col min="2" max="2" width="28.36328125" customWidth="1"/>
    <col min="3" max="3" width="28.7265625" customWidth="1"/>
    <col min="4" max="9" width="3.90625" customWidth="1"/>
    <col min="10" max="10" width="27.6328125" customWidth="1"/>
    <col min="11" max="21" width="3.90625" customWidth="1"/>
    <col min="22" max="23" width="9.81640625" customWidth="1"/>
    <col min="24" max="24" width="17" customWidth="1"/>
    <col min="25" max="25" width="30.36328125" customWidth="1"/>
  </cols>
  <sheetData>
    <row r="1" spans="1:25" ht="39" customHeight="1" x14ac:dyDescent="0.25">
      <c r="A1" s="77" t="s">
        <v>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8.5" customHeight="1" x14ac:dyDescent="0.25"/>
    <row r="3" spans="1:25" ht="30" customHeight="1" x14ac:dyDescent="0.25">
      <c r="A3" s="22">
        <f>'Invetario de Tablas'!A4</f>
        <v>1</v>
      </c>
      <c r="B3" s="30" t="s">
        <v>28</v>
      </c>
      <c r="C3" s="48" t="str">
        <f>'Invetario de Tablas'!B4</f>
        <v>USUARIO</v>
      </c>
      <c r="D3" s="49"/>
      <c r="E3" s="49"/>
      <c r="F3" s="50"/>
      <c r="G3" s="75" t="s">
        <v>29</v>
      </c>
      <c r="H3" s="49"/>
      <c r="I3" s="49"/>
      <c r="J3" s="50"/>
      <c r="K3" s="51" t="str">
        <f>'Invetario de Tablas'!C4</f>
        <v>Datos de estudiantes, docentes y perfiles de la red.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31" t="s">
        <v>32</v>
      </c>
      <c r="Y3" s="14">
        <v>1</v>
      </c>
    </row>
    <row r="4" spans="1:25" ht="30" customHeight="1" thickTop="1" x14ac:dyDescent="0.25">
      <c r="A4" s="32" t="s">
        <v>1</v>
      </c>
      <c r="B4" s="5" t="s">
        <v>33</v>
      </c>
      <c r="C4" s="74" t="s">
        <v>34</v>
      </c>
      <c r="D4" s="38"/>
      <c r="E4" s="38"/>
      <c r="F4" s="39"/>
      <c r="G4" s="74" t="s">
        <v>48</v>
      </c>
      <c r="H4" s="38"/>
      <c r="I4" s="38"/>
      <c r="J4" s="39"/>
      <c r="K4" s="74" t="s">
        <v>49</v>
      </c>
      <c r="L4" s="38"/>
      <c r="M4" s="38"/>
      <c r="N4" s="39"/>
      <c r="O4" s="74" t="s">
        <v>37</v>
      </c>
      <c r="P4" s="38"/>
      <c r="Q4" s="39"/>
      <c r="R4" s="74" t="s">
        <v>38</v>
      </c>
      <c r="S4" s="39"/>
      <c r="T4" s="74" t="s">
        <v>39</v>
      </c>
      <c r="U4" s="39"/>
      <c r="V4" s="74" t="s">
        <v>40</v>
      </c>
      <c r="W4" s="39"/>
      <c r="X4" s="74" t="s">
        <v>41</v>
      </c>
      <c r="Y4" s="43"/>
    </row>
    <row r="5" spans="1:25" ht="30" customHeight="1" x14ac:dyDescent="0.25">
      <c r="A5" s="15">
        <v>1</v>
      </c>
      <c r="B5" s="16" t="s">
        <v>104</v>
      </c>
      <c r="C5" s="79" t="s">
        <v>218</v>
      </c>
      <c r="D5" s="80"/>
      <c r="E5" s="80"/>
      <c r="F5" s="81"/>
      <c r="G5" s="79" t="s">
        <v>70</v>
      </c>
      <c r="H5" s="80" t="s">
        <v>70</v>
      </c>
      <c r="I5" s="80" t="s">
        <v>70</v>
      </c>
      <c r="J5" s="81" t="s">
        <v>70</v>
      </c>
      <c r="K5" s="42"/>
      <c r="L5" s="38"/>
      <c r="M5" s="38"/>
      <c r="N5" s="39"/>
      <c r="O5" s="82" t="s">
        <v>106</v>
      </c>
      <c r="P5" s="38"/>
      <c r="Q5" s="39"/>
      <c r="R5" s="82" t="s">
        <v>107</v>
      </c>
      <c r="S5" s="39"/>
      <c r="T5" s="42"/>
      <c r="U5" s="39"/>
      <c r="V5" s="42"/>
      <c r="W5" s="39"/>
      <c r="X5" s="82" t="s">
        <v>219</v>
      </c>
      <c r="Y5" s="43"/>
    </row>
    <row r="6" spans="1:25" ht="30" customHeight="1" x14ac:dyDescent="0.25">
      <c r="A6" s="15">
        <v>2</v>
      </c>
      <c r="B6" s="16" t="s">
        <v>109</v>
      </c>
      <c r="C6" s="79" t="s">
        <v>110</v>
      </c>
      <c r="D6" s="80" t="s">
        <v>110</v>
      </c>
      <c r="E6" s="80" t="s">
        <v>110</v>
      </c>
      <c r="F6" s="81" t="s">
        <v>110</v>
      </c>
      <c r="G6" s="79" t="s">
        <v>220</v>
      </c>
      <c r="H6" s="80" t="s">
        <v>220</v>
      </c>
      <c r="I6" s="80" t="s">
        <v>220</v>
      </c>
      <c r="J6" s="81" t="s">
        <v>220</v>
      </c>
      <c r="K6" s="42">
        <v>100</v>
      </c>
      <c r="L6" s="38"/>
      <c r="M6" s="38"/>
      <c r="N6" s="39"/>
      <c r="O6" s="82" t="s">
        <v>106</v>
      </c>
      <c r="P6" s="38"/>
      <c r="Q6" s="39"/>
      <c r="R6" s="42"/>
      <c r="S6" s="39"/>
      <c r="T6" s="42"/>
      <c r="U6" s="39"/>
      <c r="V6" s="42"/>
      <c r="W6" s="39"/>
      <c r="X6" s="42"/>
      <c r="Y6" s="43"/>
    </row>
    <row r="7" spans="1:25" ht="30" customHeight="1" x14ac:dyDescent="0.25">
      <c r="A7" s="15">
        <v>3</v>
      </c>
      <c r="B7" s="16" t="s">
        <v>112</v>
      </c>
      <c r="C7" s="79" t="s">
        <v>113</v>
      </c>
      <c r="D7" s="80" t="s">
        <v>113</v>
      </c>
      <c r="E7" s="80" t="s">
        <v>113</v>
      </c>
      <c r="F7" s="81" t="s">
        <v>113</v>
      </c>
      <c r="G7" s="79" t="s">
        <v>220</v>
      </c>
      <c r="H7" s="80" t="s">
        <v>220</v>
      </c>
      <c r="I7" s="80" t="s">
        <v>220</v>
      </c>
      <c r="J7" s="81" t="s">
        <v>220</v>
      </c>
      <c r="K7" s="42">
        <v>100</v>
      </c>
      <c r="L7" s="38"/>
      <c r="M7" s="38"/>
      <c r="N7" s="39"/>
      <c r="O7" s="82" t="s">
        <v>106</v>
      </c>
      <c r="P7" s="38"/>
      <c r="Q7" s="39"/>
      <c r="R7" s="42"/>
      <c r="S7" s="39"/>
      <c r="T7" s="42"/>
      <c r="U7" s="39"/>
      <c r="V7" s="42"/>
      <c r="W7" s="39"/>
      <c r="X7" s="42"/>
      <c r="Y7" s="43"/>
    </row>
    <row r="8" spans="1:25" ht="30" customHeight="1" x14ac:dyDescent="0.25">
      <c r="A8" s="15">
        <v>4</v>
      </c>
      <c r="B8" s="16" t="s">
        <v>115</v>
      </c>
      <c r="C8" s="79" t="s">
        <v>186</v>
      </c>
      <c r="D8" s="80" t="s">
        <v>186</v>
      </c>
      <c r="E8" s="80" t="s">
        <v>186</v>
      </c>
      <c r="F8" s="81" t="s">
        <v>186</v>
      </c>
      <c r="G8" s="79" t="s">
        <v>55</v>
      </c>
      <c r="H8" s="80" t="s">
        <v>55</v>
      </c>
      <c r="I8" s="80" t="s">
        <v>55</v>
      </c>
      <c r="J8" s="81" t="s">
        <v>55</v>
      </c>
      <c r="K8" s="42"/>
      <c r="L8" s="38"/>
      <c r="M8" s="38"/>
      <c r="N8" s="39"/>
      <c r="O8" s="82" t="s">
        <v>106</v>
      </c>
      <c r="P8" s="38"/>
      <c r="Q8" s="39"/>
      <c r="R8" s="42"/>
      <c r="S8" s="39"/>
      <c r="T8" s="42"/>
      <c r="U8" s="39"/>
      <c r="V8" s="82" t="s">
        <v>107</v>
      </c>
      <c r="W8" s="39"/>
      <c r="X8" s="82" t="s">
        <v>187</v>
      </c>
      <c r="Y8" s="43"/>
    </row>
    <row r="9" spans="1:25" ht="30" customHeight="1" x14ac:dyDescent="0.25">
      <c r="A9" s="15">
        <v>5</v>
      </c>
      <c r="B9" s="16" t="s">
        <v>221</v>
      </c>
      <c r="C9" s="79" t="s">
        <v>122</v>
      </c>
      <c r="D9" s="80" t="s">
        <v>122</v>
      </c>
      <c r="E9" s="80" t="s">
        <v>122</v>
      </c>
      <c r="F9" s="81" t="s">
        <v>122</v>
      </c>
      <c r="G9" s="79" t="s">
        <v>62</v>
      </c>
      <c r="H9" s="80" t="s">
        <v>62</v>
      </c>
      <c r="I9" s="80" t="s">
        <v>62</v>
      </c>
      <c r="J9" s="81" t="s">
        <v>62</v>
      </c>
      <c r="K9" s="42"/>
      <c r="L9" s="38"/>
      <c r="M9" s="38"/>
      <c r="N9" s="39"/>
      <c r="O9" s="82" t="s">
        <v>123</v>
      </c>
      <c r="P9" s="38"/>
      <c r="Q9" s="39"/>
      <c r="R9" s="42"/>
      <c r="S9" s="39"/>
      <c r="T9" s="82" t="s">
        <v>107</v>
      </c>
      <c r="U9" s="39"/>
      <c r="V9" s="42"/>
      <c r="W9" s="39"/>
      <c r="X9" s="82" t="s">
        <v>223</v>
      </c>
      <c r="Y9" s="43"/>
    </row>
    <row r="10" spans="1:25" ht="30" customHeight="1" x14ac:dyDescent="0.25">
      <c r="A10" s="17">
        <v>6</v>
      </c>
      <c r="B10" s="16" t="s">
        <v>118</v>
      </c>
      <c r="C10" s="79" t="s">
        <v>119</v>
      </c>
      <c r="D10" s="80" t="s">
        <v>119</v>
      </c>
      <c r="E10" s="80" t="s">
        <v>119</v>
      </c>
      <c r="F10" s="81" t="s">
        <v>119</v>
      </c>
      <c r="G10" s="79" t="s">
        <v>67</v>
      </c>
      <c r="H10" s="80" t="s">
        <v>67</v>
      </c>
      <c r="I10" s="80" t="s">
        <v>67</v>
      </c>
      <c r="J10" s="81" t="s">
        <v>67</v>
      </c>
      <c r="K10" s="42"/>
      <c r="L10" s="38"/>
      <c r="M10" s="38"/>
      <c r="N10" s="39"/>
      <c r="O10" s="82" t="s">
        <v>106</v>
      </c>
      <c r="P10" s="38"/>
      <c r="Q10" s="39"/>
      <c r="R10" s="42"/>
      <c r="S10" s="39"/>
      <c r="T10" s="42"/>
      <c r="U10" s="39"/>
      <c r="V10" s="42"/>
      <c r="W10" s="39"/>
      <c r="X10" s="82" t="s">
        <v>222</v>
      </c>
      <c r="Y10" s="43"/>
    </row>
    <row r="11" spans="1:25" ht="28.5" customHeight="1" thickBot="1" x14ac:dyDescent="0.3">
      <c r="A11" s="45" t="s">
        <v>42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/>
    </row>
    <row r="12" spans="1:25" ht="36" customHeight="1" x14ac:dyDescent="0.25"/>
    <row r="13" spans="1:25" ht="30" customHeight="1" x14ac:dyDescent="0.25">
      <c r="A13" s="22">
        <f>'Invetario de Tablas'!A5</f>
        <v>2</v>
      </c>
      <c r="B13" s="30" t="s">
        <v>28</v>
      </c>
      <c r="C13" s="66" t="str">
        <f>'Invetario de Tablas'!B5</f>
        <v>PUBLICACION</v>
      </c>
      <c r="D13" s="57"/>
      <c r="E13" s="57"/>
      <c r="F13" s="58"/>
      <c r="G13" s="75" t="s">
        <v>29</v>
      </c>
      <c r="H13" s="49"/>
      <c r="I13" s="49"/>
      <c r="J13" s="50"/>
      <c r="K13" s="68" t="str">
        <f>'Invetario de Tablas'!C5</f>
        <v>Contenido compartido por los usuarios.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8"/>
      <c r="X13" s="33" t="s">
        <v>32</v>
      </c>
      <c r="Y13" s="14">
        <v>1</v>
      </c>
    </row>
    <row r="14" spans="1:25" ht="30" customHeight="1" thickTop="1" x14ac:dyDescent="0.25">
      <c r="A14" s="34" t="s">
        <v>1</v>
      </c>
      <c r="B14" s="5" t="s">
        <v>33</v>
      </c>
      <c r="C14" s="72" t="s">
        <v>34</v>
      </c>
      <c r="D14" s="76"/>
      <c r="E14" s="76"/>
      <c r="F14" s="73"/>
      <c r="G14" s="74" t="s">
        <v>48</v>
      </c>
      <c r="H14" s="38"/>
      <c r="I14" s="38"/>
      <c r="J14" s="39"/>
      <c r="K14" s="72" t="s">
        <v>36</v>
      </c>
      <c r="L14" s="76"/>
      <c r="M14" s="76"/>
      <c r="N14" s="73"/>
      <c r="O14" s="72" t="s">
        <v>37</v>
      </c>
      <c r="P14" s="76"/>
      <c r="Q14" s="73"/>
      <c r="R14" s="72" t="s">
        <v>38</v>
      </c>
      <c r="S14" s="73"/>
      <c r="T14" s="72" t="s">
        <v>39</v>
      </c>
      <c r="U14" s="73"/>
      <c r="V14" s="72" t="s">
        <v>40</v>
      </c>
      <c r="W14" s="73"/>
      <c r="X14" s="74" t="s">
        <v>41</v>
      </c>
      <c r="Y14" s="43"/>
    </row>
    <row r="15" spans="1:25" ht="30" customHeight="1" x14ac:dyDescent="0.25">
      <c r="A15" s="18">
        <v>1</v>
      </c>
      <c r="B15" s="16" t="s">
        <v>137</v>
      </c>
      <c r="C15" s="79" t="s">
        <v>138</v>
      </c>
      <c r="D15" s="80"/>
      <c r="E15" s="80"/>
      <c r="F15" s="81"/>
      <c r="G15" s="79" t="s">
        <v>70</v>
      </c>
      <c r="H15" s="80" t="s">
        <v>70</v>
      </c>
      <c r="I15" s="80" t="s">
        <v>70</v>
      </c>
      <c r="J15" s="81" t="s">
        <v>70</v>
      </c>
      <c r="K15" s="42"/>
      <c r="L15" s="38"/>
      <c r="M15" s="38"/>
      <c r="N15" s="39"/>
      <c r="O15" s="82" t="s">
        <v>106</v>
      </c>
      <c r="P15" s="38"/>
      <c r="Q15" s="39"/>
      <c r="R15" s="82" t="s">
        <v>107</v>
      </c>
      <c r="S15" s="39"/>
      <c r="T15" s="42"/>
      <c r="U15" s="39"/>
      <c r="V15" s="42"/>
      <c r="W15" s="39"/>
      <c r="X15" s="42"/>
      <c r="Y15" s="43"/>
    </row>
    <row r="16" spans="1:25" ht="30" customHeight="1" x14ac:dyDescent="0.25">
      <c r="A16" s="18">
        <v>2</v>
      </c>
      <c r="B16" s="16" t="s">
        <v>104</v>
      </c>
      <c r="C16" s="79" t="s">
        <v>139</v>
      </c>
      <c r="D16" s="80" t="s">
        <v>139</v>
      </c>
      <c r="E16" s="80" t="s">
        <v>139</v>
      </c>
      <c r="F16" s="81" t="s">
        <v>139</v>
      </c>
      <c r="G16" s="79" t="s">
        <v>55</v>
      </c>
      <c r="H16" s="80" t="s">
        <v>55</v>
      </c>
      <c r="I16" s="80" t="s">
        <v>55</v>
      </c>
      <c r="J16" s="81" t="s">
        <v>55</v>
      </c>
      <c r="K16" s="42"/>
      <c r="L16" s="38"/>
      <c r="M16" s="38"/>
      <c r="N16" s="39"/>
      <c r="O16" s="82" t="s">
        <v>106</v>
      </c>
      <c r="P16" s="38"/>
      <c r="Q16" s="39"/>
      <c r="R16" s="42"/>
      <c r="S16" s="39"/>
      <c r="T16" s="82" t="s">
        <v>107</v>
      </c>
      <c r="U16" s="39"/>
      <c r="V16" s="42"/>
      <c r="W16" s="39"/>
      <c r="X16" s="82" t="s">
        <v>203</v>
      </c>
      <c r="Y16" s="43"/>
    </row>
    <row r="17" spans="1:25" ht="30" customHeight="1" x14ac:dyDescent="0.25">
      <c r="A17" s="18">
        <v>3</v>
      </c>
      <c r="B17" s="16" t="s">
        <v>141</v>
      </c>
      <c r="C17" s="79" t="s">
        <v>142</v>
      </c>
      <c r="D17" s="80" t="s">
        <v>142</v>
      </c>
      <c r="E17" s="80" t="s">
        <v>142</v>
      </c>
      <c r="F17" s="81" t="s">
        <v>142</v>
      </c>
      <c r="G17" s="79" t="s">
        <v>62</v>
      </c>
      <c r="H17" s="80" t="s">
        <v>62</v>
      </c>
      <c r="I17" s="80" t="s">
        <v>62</v>
      </c>
      <c r="J17" s="81" t="s">
        <v>62</v>
      </c>
      <c r="K17" s="42"/>
      <c r="L17" s="38"/>
      <c r="M17" s="38"/>
      <c r="N17" s="39"/>
      <c r="O17" s="82" t="s">
        <v>123</v>
      </c>
      <c r="P17" s="38"/>
      <c r="Q17" s="39"/>
      <c r="R17" s="42"/>
      <c r="S17" s="39"/>
      <c r="T17" s="42"/>
      <c r="U17" s="39"/>
      <c r="V17" s="42"/>
      <c r="W17" s="39"/>
      <c r="X17" s="42"/>
      <c r="Y17" s="43"/>
    </row>
    <row r="18" spans="1:25" ht="30" customHeight="1" x14ac:dyDescent="0.25">
      <c r="A18" s="18">
        <v>4</v>
      </c>
      <c r="B18" s="16" t="s">
        <v>147</v>
      </c>
      <c r="C18" s="79" t="s">
        <v>224</v>
      </c>
      <c r="D18" s="80" t="s">
        <v>224</v>
      </c>
      <c r="E18" s="80" t="s">
        <v>224</v>
      </c>
      <c r="F18" s="81" t="s">
        <v>224</v>
      </c>
      <c r="G18" s="79" t="s">
        <v>62</v>
      </c>
      <c r="H18" s="80" t="s">
        <v>62</v>
      </c>
      <c r="I18" s="80" t="s">
        <v>62</v>
      </c>
      <c r="J18" s="81" t="s">
        <v>62</v>
      </c>
      <c r="K18" s="42"/>
      <c r="L18" s="38"/>
      <c r="M18" s="38"/>
      <c r="N18" s="39"/>
      <c r="O18" s="82" t="s">
        <v>123</v>
      </c>
      <c r="P18" s="38"/>
      <c r="Q18" s="39"/>
      <c r="R18" s="42"/>
      <c r="S18" s="39"/>
      <c r="T18" s="42"/>
      <c r="U18" s="39"/>
      <c r="V18" s="42"/>
      <c r="W18" s="39"/>
      <c r="X18" s="82" t="s">
        <v>225</v>
      </c>
      <c r="Y18" s="43"/>
    </row>
    <row r="19" spans="1:25" ht="30" customHeight="1" thickBot="1" x14ac:dyDescent="0.3">
      <c r="A19" s="19">
        <v>5</v>
      </c>
      <c r="B19" s="20" t="s">
        <v>145</v>
      </c>
      <c r="C19" s="135" t="s">
        <v>146</v>
      </c>
      <c r="D19" s="136"/>
      <c r="E19" s="136"/>
      <c r="F19" s="137"/>
      <c r="G19" s="135" t="s">
        <v>67</v>
      </c>
      <c r="H19" s="136" t="s">
        <v>67</v>
      </c>
      <c r="I19" s="136" t="s">
        <v>67</v>
      </c>
      <c r="J19" s="137" t="s">
        <v>67</v>
      </c>
      <c r="K19" s="52"/>
      <c r="L19" s="46"/>
      <c r="M19" s="46"/>
      <c r="N19" s="53"/>
      <c r="O19" s="128" t="s">
        <v>106</v>
      </c>
      <c r="P19" s="46"/>
      <c r="Q19" s="53"/>
      <c r="R19" s="52"/>
      <c r="S19" s="53"/>
      <c r="T19" s="52"/>
      <c r="U19" s="53"/>
      <c r="V19" s="52"/>
      <c r="W19" s="53"/>
      <c r="X19" s="52"/>
      <c r="Y19" s="47"/>
    </row>
    <row r="20" spans="1:25" ht="48" customHeight="1" thickTop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40.5" customHeight="1" x14ac:dyDescent="0.25">
      <c r="A21" s="54" t="s">
        <v>50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36" customHeight="1" thickBot="1" x14ac:dyDescent="0.3"/>
    <row r="23" spans="1:25" ht="30" customHeight="1" thickTop="1" thickBot="1" x14ac:dyDescent="0.3">
      <c r="A23" s="22">
        <f>'Invetario de Tablas'!A6</f>
        <v>3</v>
      </c>
      <c r="B23" s="30" t="s">
        <v>28</v>
      </c>
      <c r="C23" s="66" t="str">
        <f>'Invetario de Tablas'!B6</f>
        <v>GRUPO_ESTUDIO</v>
      </c>
      <c r="D23" s="57"/>
      <c r="E23" s="57"/>
      <c r="F23" s="58"/>
      <c r="G23" s="75" t="s">
        <v>29</v>
      </c>
      <c r="H23" s="49"/>
      <c r="I23" s="49"/>
      <c r="J23" s="50"/>
      <c r="K23" s="68" t="str">
        <f>'Invetario de Tablas'!C6</f>
        <v>Espacios para materias o intereses.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8"/>
      <c r="X23" s="33" t="s">
        <v>32</v>
      </c>
      <c r="Y23" s="14">
        <v>1</v>
      </c>
    </row>
    <row r="24" spans="1:25" ht="30" customHeight="1" thickTop="1" x14ac:dyDescent="0.25">
      <c r="A24" s="34" t="s">
        <v>1</v>
      </c>
      <c r="B24" s="5" t="s">
        <v>33</v>
      </c>
      <c r="C24" s="72" t="s">
        <v>34</v>
      </c>
      <c r="D24" s="76"/>
      <c r="E24" s="76"/>
      <c r="F24" s="73"/>
      <c r="G24" s="74" t="s">
        <v>48</v>
      </c>
      <c r="H24" s="38"/>
      <c r="I24" s="38"/>
      <c r="J24" s="39"/>
      <c r="K24" s="72" t="s">
        <v>36</v>
      </c>
      <c r="L24" s="76"/>
      <c r="M24" s="76"/>
      <c r="N24" s="73"/>
      <c r="O24" s="72" t="s">
        <v>37</v>
      </c>
      <c r="P24" s="76"/>
      <c r="Q24" s="73"/>
      <c r="R24" s="72" t="s">
        <v>38</v>
      </c>
      <c r="S24" s="73"/>
      <c r="T24" s="72" t="s">
        <v>39</v>
      </c>
      <c r="U24" s="73"/>
      <c r="V24" s="72" t="s">
        <v>40</v>
      </c>
      <c r="W24" s="73"/>
      <c r="X24" s="74" t="s">
        <v>41</v>
      </c>
      <c r="Y24" s="43"/>
    </row>
    <row r="25" spans="1:25" ht="30" customHeight="1" x14ac:dyDescent="0.25">
      <c r="A25" s="18">
        <v>1</v>
      </c>
      <c r="B25" s="16" t="s">
        <v>150</v>
      </c>
      <c r="C25" s="79" t="s">
        <v>151</v>
      </c>
      <c r="D25" s="80"/>
      <c r="E25" s="80"/>
      <c r="F25" s="81"/>
      <c r="G25" s="79" t="s">
        <v>70</v>
      </c>
      <c r="H25" s="80" t="s">
        <v>70</v>
      </c>
      <c r="I25" s="80" t="s">
        <v>70</v>
      </c>
      <c r="J25" s="81" t="s">
        <v>70</v>
      </c>
      <c r="K25" s="42"/>
      <c r="L25" s="38"/>
      <c r="M25" s="38"/>
      <c r="N25" s="39"/>
      <c r="O25" s="82" t="s">
        <v>106</v>
      </c>
      <c r="P25" s="38"/>
      <c r="Q25" s="39"/>
      <c r="R25" s="82" t="s">
        <v>107</v>
      </c>
      <c r="S25" s="39"/>
      <c r="T25" s="42"/>
      <c r="U25" s="39"/>
      <c r="V25" s="42"/>
      <c r="W25" s="39"/>
      <c r="X25" s="42"/>
      <c r="Y25" s="43"/>
    </row>
    <row r="26" spans="1:25" ht="30" customHeight="1" x14ac:dyDescent="0.25">
      <c r="A26" s="18">
        <v>2</v>
      </c>
      <c r="B26" s="16" t="s">
        <v>152</v>
      </c>
      <c r="C26" s="79" t="s">
        <v>226</v>
      </c>
      <c r="D26" s="80"/>
      <c r="E26" s="80"/>
      <c r="F26" s="81"/>
      <c r="G26" s="79" t="s">
        <v>220</v>
      </c>
      <c r="H26" s="80" t="s">
        <v>220</v>
      </c>
      <c r="I26" s="80" t="s">
        <v>220</v>
      </c>
      <c r="J26" s="81" t="s">
        <v>220</v>
      </c>
      <c r="K26" s="42">
        <v>100</v>
      </c>
      <c r="L26" s="38"/>
      <c r="M26" s="38"/>
      <c r="N26" s="39"/>
      <c r="O26" s="82" t="s">
        <v>106</v>
      </c>
      <c r="P26" s="38"/>
      <c r="Q26" s="39"/>
      <c r="R26" s="42"/>
      <c r="S26" s="39"/>
      <c r="T26" s="82"/>
      <c r="U26" s="39"/>
      <c r="V26" s="42"/>
      <c r="W26" s="39"/>
      <c r="X26" s="82"/>
      <c r="Y26" s="43"/>
    </row>
    <row r="27" spans="1:25" ht="30" customHeight="1" thickBot="1" x14ac:dyDescent="0.3">
      <c r="A27" s="19">
        <v>3</v>
      </c>
      <c r="B27" s="20" t="s">
        <v>201</v>
      </c>
      <c r="C27" s="135" t="s">
        <v>227</v>
      </c>
      <c r="D27" s="136"/>
      <c r="E27" s="136"/>
      <c r="F27" s="137"/>
      <c r="G27" s="135" t="s">
        <v>55</v>
      </c>
      <c r="H27" s="136" t="s">
        <v>55</v>
      </c>
      <c r="I27" s="136" t="s">
        <v>55</v>
      </c>
      <c r="J27" s="137" t="s">
        <v>55</v>
      </c>
      <c r="K27" s="52"/>
      <c r="L27" s="46"/>
      <c r="M27" s="46"/>
      <c r="N27" s="53"/>
      <c r="O27" s="128" t="s">
        <v>106</v>
      </c>
      <c r="P27" s="46"/>
      <c r="Q27" s="53"/>
      <c r="R27" s="52"/>
      <c r="S27" s="53"/>
      <c r="T27" s="128" t="s">
        <v>107</v>
      </c>
      <c r="U27" s="53"/>
      <c r="V27" s="52"/>
      <c r="W27" s="53"/>
      <c r="X27" s="128" t="s">
        <v>203</v>
      </c>
      <c r="Y27" s="138"/>
    </row>
    <row r="28" spans="1:25" ht="36" customHeight="1" thickTop="1" thickBot="1" x14ac:dyDescent="0.3"/>
    <row r="29" spans="1:25" ht="30" customHeight="1" thickTop="1" thickBot="1" x14ac:dyDescent="0.3">
      <c r="A29" s="22">
        <f>'Invetario de Tablas'!A7</f>
        <v>4</v>
      </c>
      <c r="B29" s="30" t="s">
        <v>28</v>
      </c>
      <c r="C29" s="66" t="str">
        <f>'Invetario de Tablas'!B7</f>
        <v>MIEMBRO_GRUPO (Intermedia)</v>
      </c>
      <c r="D29" s="57"/>
      <c r="E29" s="57"/>
      <c r="F29" s="58"/>
      <c r="G29" s="75" t="s">
        <v>29</v>
      </c>
      <c r="H29" s="49"/>
      <c r="I29" s="49"/>
      <c r="J29" s="50"/>
      <c r="K29" s="68" t="str">
        <f>'Invetario de Tablas'!C7</f>
        <v>Relación N:M entre usuarios y grupos.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8"/>
      <c r="X29" s="33" t="s">
        <v>32</v>
      </c>
      <c r="Y29" s="14">
        <v>1</v>
      </c>
    </row>
    <row r="30" spans="1:25" ht="30" customHeight="1" thickTop="1" x14ac:dyDescent="0.25">
      <c r="A30" s="34" t="s">
        <v>1</v>
      </c>
      <c r="B30" s="5" t="s">
        <v>33</v>
      </c>
      <c r="C30" s="72" t="s">
        <v>34</v>
      </c>
      <c r="D30" s="76"/>
      <c r="E30" s="76"/>
      <c r="F30" s="73"/>
      <c r="G30" s="74" t="s">
        <v>48</v>
      </c>
      <c r="H30" s="38"/>
      <c r="I30" s="38"/>
      <c r="J30" s="39"/>
      <c r="K30" s="72" t="s">
        <v>36</v>
      </c>
      <c r="L30" s="76"/>
      <c r="M30" s="76"/>
      <c r="N30" s="73"/>
      <c r="O30" s="72" t="s">
        <v>37</v>
      </c>
      <c r="P30" s="76"/>
      <c r="Q30" s="73"/>
      <c r="R30" s="72" t="s">
        <v>38</v>
      </c>
      <c r="S30" s="73"/>
      <c r="T30" s="72" t="s">
        <v>39</v>
      </c>
      <c r="U30" s="73"/>
      <c r="V30" s="72" t="s">
        <v>40</v>
      </c>
      <c r="W30" s="73"/>
      <c r="X30" s="74" t="s">
        <v>41</v>
      </c>
      <c r="Y30" s="43"/>
    </row>
    <row r="31" spans="1:25" ht="30" customHeight="1" x14ac:dyDescent="0.25">
      <c r="A31" s="18">
        <v>1</v>
      </c>
      <c r="B31" s="16" t="s">
        <v>104</v>
      </c>
      <c r="C31" s="79" t="s">
        <v>158</v>
      </c>
      <c r="D31" s="80"/>
      <c r="E31" s="80"/>
      <c r="F31" s="139"/>
      <c r="G31" s="79" t="s">
        <v>55</v>
      </c>
      <c r="H31" s="80" t="s">
        <v>55</v>
      </c>
      <c r="I31" s="80" t="s">
        <v>55</v>
      </c>
      <c r="J31" s="139" t="s">
        <v>55</v>
      </c>
      <c r="K31" s="42"/>
      <c r="L31" s="38"/>
      <c r="M31" s="38"/>
      <c r="N31" s="39"/>
      <c r="O31" s="82" t="s">
        <v>106</v>
      </c>
      <c r="P31" s="38"/>
      <c r="Q31" s="39"/>
      <c r="R31" s="82" t="s">
        <v>107</v>
      </c>
      <c r="S31" s="39"/>
      <c r="T31" s="82" t="s">
        <v>107</v>
      </c>
      <c r="U31" s="39"/>
      <c r="V31" s="42"/>
      <c r="W31" s="39"/>
      <c r="X31" s="82" t="s">
        <v>159</v>
      </c>
      <c r="Y31" s="43"/>
    </row>
    <row r="32" spans="1:25" ht="30" customHeight="1" x14ac:dyDescent="0.25">
      <c r="A32" s="18">
        <v>2</v>
      </c>
      <c r="B32" s="16" t="s">
        <v>150</v>
      </c>
      <c r="C32" s="79" t="s">
        <v>160</v>
      </c>
      <c r="D32" s="80"/>
      <c r="E32" s="80"/>
      <c r="F32" s="139"/>
      <c r="G32" s="79" t="s">
        <v>55</v>
      </c>
      <c r="H32" s="80" t="s">
        <v>55</v>
      </c>
      <c r="I32" s="80" t="s">
        <v>55</v>
      </c>
      <c r="J32" s="139" t="s">
        <v>55</v>
      </c>
      <c r="K32" s="42"/>
      <c r="L32" s="38"/>
      <c r="M32" s="38"/>
      <c r="N32" s="39"/>
      <c r="O32" s="82" t="s">
        <v>106</v>
      </c>
      <c r="P32" s="38"/>
      <c r="Q32" s="39"/>
      <c r="R32" s="82" t="s">
        <v>107</v>
      </c>
      <c r="S32" s="39"/>
      <c r="T32" s="82" t="s">
        <v>107</v>
      </c>
      <c r="U32" s="39"/>
      <c r="V32" s="42"/>
      <c r="W32" s="39"/>
      <c r="X32" s="82" t="s">
        <v>159</v>
      </c>
      <c r="Y32" s="43"/>
    </row>
    <row r="33" spans="1:25" ht="30" customHeight="1" thickBot="1" x14ac:dyDescent="0.3">
      <c r="A33" s="19">
        <v>3</v>
      </c>
      <c r="B33" s="20" t="s">
        <v>161</v>
      </c>
      <c r="C33" s="135" t="s">
        <v>228</v>
      </c>
      <c r="D33" s="136"/>
      <c r="E33" s="136"/>
      <c r="F33" s="140"/>
      <c r="G33" s="135" t="s">
        <v>64</v>
      </c>
      <c r="H33" s="136" t="s">
        <v>64</v>
      </c>
      <c r="I33" s="136" t="s">
        <v>64</v>
      </c>
      <c r="J33" s="140" t="s">
        <v>64</v>
      </c>
      <c r="K33" s="52"/>
      <c r="L33" s="46"/>
      <c r="M33" s="46"/>
      <c r="N33" s="53"/>
      <c r="O33" s="128" t="s">
        <v>106</v>
      </c>
      <c r="P33" s="46"/>
      <c r="Q33" s="53"/>
      <c r="R33" s="52"/>
      <c r="S33" s="53"/>
      <c r="T33" s="52"/>
      <c r="U33" s="53"/>
      <c r="V33" s="52"/>
      <c r="W33" s="53"/>
      <c r="X33" s="52"/>
      <c r="Y33" s="47"/>
    </row>
    <row r="34" spans="1:25" ht="36" customHeight="1" thickTop="1" thickBot="1" x14ac:dyDescent="0.3"/>
    <row r="35" spans="1:25" ht="30" customHeight="1" thickTop="1" thickBot="1" x14ac:dyDescent="0.3">
      <c r="A35" s="22">
        <f>'Invetario de Tablas'!A8</f>
        <v>5</v>
      </c>
      <c r="B35" s="141" t="s">
        <v>28</v>
      </c>
      <c r="C35" s="66" t="str">
        <f>'Invetario de Tablas'!B8</f>
        <v>EVENTO</v>
      </c>
      <c r="D35" s="57"/>
      <c r="E35" s="57"/>
      <c r="F35" s="58"/>
      <c r="G35" s="75" t="s">
        <v>29</v>
      </c>
      <c r="H35" s="49"/>
      <c r="I35" s="49"/>
      <c r="J35" s="50"/>
      <c r="K35" s="68" t="str">
        <f>'Invetario de Tablas'!C8</f>
        <v>Actividades programadas (Talleres, reuniones).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8"/>
      <c r="X35" s="33" t="s">
        <v>32</v>
      </c>
      <c r="Y35" s="14">
        <v>1</v>
      </c>
    </row>
    <row r="36" spans="1:25" ht="30" customHeight="1" thickTop="1" x14ac:dyDescent="0.25">
      <c r="A36" s="34" t="s">
        <v>1</v>
      </c>
      <c r="B36" s="5" t="s">
        <v>33</v>
      </c>
      <c r="C36" s="72" t="s">
        <v>34</v>
      </c>
      <c r="D36" s="76"/>
      <c r="E36" s="76"/>
      <c r="F36" s="73"/>
      <c r="G36" s="74" t="s">
        <v>48</v>
      </c>
      <c r="H36" s="38"/>
      <c r="I36" s="38"/>
      <c r="J36" s="39"/>
      <c r="K36" s="72" t="s">
        <v>36</v>
      </c>
      <c r="L36" s="76"/>
      <c r="M36" s="76"/>
      <c r="N36" s="73"/>
      <c r="O36" s="72" t="s">
        <v>37</v>
      </c>
      <c r="P36" s="76"/>
      <c r="Q36" s="73"/>
      <c r="R36" s="72" t="s">
        <v>38</v>
      </c>
      <c r="S36" s="73"/>
      <c r="T36" s="72" t="s">
        <v>39</v>
      </c>
      <c r="U36" s="73"/>
      <c r="V36" s="72" t="s">
        <v>40</v>
      </c>
      <c r="W36" s="73"/>
      <c r="X36" s="74" t="s">
        <v>41</v>
      </c>
      <c r="Y36" s="43"/>
    </row>
    <row r="37" spans="1:25" ht="30" customHeight="1" x14ac:dyDescent="0.25">
      <c r="A37" s="18">
        <v>1</v>
      </c>
      <c r="B37" s="16" t="s">
        <v>163</v>
      </c>
      <c r="C37" s="79" t="s">
        <v>229</v>
      </c>
      <c r="D37" s="80"/>
      <c r="E37" s="80"/>
      <c r="F37" s="139"/>
      <c r="G37" s="79" t="s">
        <v>70</v>
      </c>
      <c r="H37" s="80" t="s">
        <v>70</v>
      </c>
      <c r="I37" s="80" t="s">
        <v>70</v>
      </c>
      <c r="J37" s="139" t="s">
        <v>70</v>
      </c>
      <c r="K37" s="42"/>
      <c r="L37" s="38"/>
      <c r="M37" s="38"/>
      <c r="N37" s="39"/>
      <c r="O37" s="82" t="s">
        <v>106</v>
      </c>
      <c r="P37" s="38"/>
      <c r="Q37" s="39"/>
      <c r="R37" s="82" t="s">
        <v>107</v>
      </c>
      <c r="S37" s="39"/>
      <c r="T37" s="42"/>
      <c r="U37" s="39"/>
      <c r="V37" s="42"/>
      <c r="W37" s="39"/>
      <c r="X37" s="42"/>
      <c r="Y37" s="43"/>
    </row>
    <row r="38" spans="1:25" ht="30" customHeight="1" x14ac:dyDescent="0.25">
      <c r="A38" s="18">
        <v>2</v>
      </c>
      <c r="B38" s="16" t="s">
        <v>165</v>
      </c>
      <c r="C38" s="79" t="s">
        <v>166</v>
      </c>
      <c r="D38" s="80" t="s">
        <v>166</v>
      </c>
      <c r="E38" s="80" t="s">
        <v>166</v>
      </c>
      <c r="F38" s="139" t="s">
        <v>166</v>
      </c>
      <c r="G38" s="79" t="s">
        <v>220</v>
      </c>
      <c r="H38" s="80" t="s">
        <v>220</v>
      </c>
      <c r="I38" s="80" t="s">
        <v>220</v>
      </c>
      <c r="J38" s="139" t="s">
        <v>220</v>
      </c>
      <c r="K38" s="42">
        <v>150</v>
      </c>
      <c r="L38" s="38"/>
      <c r="M38" s="38"/>
      <c r="N38" s="39"/>
      <c r="O38" s="82" t="s">
        <v>106</v>
      </c>
      <c r="P38" s="38"/>
      <c r="Q38" s="39"/>
      <c r="R38" s="42"/>
      <c r="S38" s="39"/>
      <c r="T38" s="82"/>
      <c r="U38" s="39"/>
      <c r="V38" s="42"/>
      <c r="W38" s="39"/>
      <c r="X38" s="82"/>
      <c r="Y38" s="43"/>
    </row>
    <row r="39" spans="1:25" ht="30" customHeight="1" x14ac:dyDescent="0.25">
      <c r="A39" s="18">
        <v>3</v>
      </c>
      <c r="B39" s="16" t="s">
        <v>168</v>
      </c>
      <c r="C39" s="79" t="s">
        <v>169</v>
      </c>
      <c r="D39" s="80" t="s">
        <v>169</v>
      </c>
      <c r="E39" s="80" t="s">
        <v>169</v>
      </c>
      <c r="F39" s="139" t="s">
        <v>169</v>
      </c>
      <c r="G39" s="79" t="s">
        <v>67</v>
      </c>
      <c r="H39" s="80" t="s">
        <v>67</v>
      </c>
      <c r="I39" s="80" t="s">
        <v>67</v>
      </c>
      <c r="J39" s="139" t="s">
        <v>67</v>
      </c>
      <c r="K39" s="42"/>
      <c r="L39" s="38"/>
      <c r="M39" s="38"/>
      <c r="N39" s="39"/>
      <c r="O39" s="82" t="s">
        <v>106</v>
      </c>
      <c r="P39" s="38"/>
      <c r="Q39" s="39"/>
      <c r="R39" s="42"/>
      <c r="S39" s="39"/>
      <c r="T39" s="42"/>
      <c r="U39" s="39"/>
      <c r="V39" s="42"/>
      <c r="W39" s="39"/>
      <c r="X39" s="82"/>
      <c r="Y39" s="43"/>
    </row>
    <row r="40" spans="1:25" ht="30" customHeight="1" thickBot="1" x14ac:dyDescent="0.3">
      <c r="A40" s="19">
        <v>4</v>
      </c>
      <c r="B40" s="20" t="s">
        <v>170</v>
      </c>
      <c r="C40" s="135" t="s">
        <v>171</v>
      </c>
      <c r="D40" s="136"/>
      <c r="E40" s="136"/>
      <c r="F40" s="140"/>
      <c r="G40" s="135" t="s">
        <v>67</v>
      </c>
      <c r="H40" s="136" t="s">
        <v>67</v>
      </c>
      <c r="I40" s="136" t="s">
        <v>67</v>
      </c>
      <c r="J40" s="140" t="s">
        <v>67</v>
      </c>
      <c r="K40" s="52"/>
      <c r="L40" s="46"/>
      <c r="M40" s="46"/>
      <c r="N40" s="53"/>
      <c r="O40" s="128" t="s">
        <v>106</v>
      </c>
      <c r="P40" s="46"/>
      <c r="Q40" s="53"/>
      <c r="R40" s="52"/>
      <c r="S40" s="53"/>
      <c r="T40" s="52"/>
      <c r="U40" s="53"/>
      <c r="V40" s="52"/>
      <c r="W40" s="53"/>
      <c r="X40" s="128" t="s">
        <v>230</v>
      </c>
      <c r="Y40" s="47"/>
    </row>
    <row r="41" spans="1:25" ht="36" customHeight="1" thickTop="1" thickBot="1" x14ac:dyDescent="0.3"/>
    <row r="42" spans="1:25" ht="30" customHeight="1" thickTop="1" thickBot="1" x14ac:dyDescent="0.3">
      <c r="A42" s="22">
        <f>'Invetario de Tablas'!A9</f>
        <v>6</v>
      </c>
      <c r="B42" s="30" t="s">
        <v>28</v>
      </c>
      <c r="C42" s="66" t="str">
        <f>'Invetario de Tablas'!B9</f>
        <v>COMENTARIO</v>
      </c>
      <c r="D42" s="57"/>
      <c r="E42" s="57"/>
      <c r="F42" s="58"/>
      <c r="G42" s="75" t="s">
        <v>29</v>
      </c>
      <c r="H42" s="49"/>
      <c r="I42" s="49"/>
      <c r="J42" s="50"/>
      <c r="K42" s="68" t="str">
        <f>'Invetario de Tablas'!C9</f>
        <v>Respuestas a publicaciones.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8"/>
      <c r="X42" s="33" t="s">
        <v>32</v>
      </c>
      <c r="Y42" s="14">
        <v>1</v>
      </c>
    </row>
    <row r="43" spans="1:25" ht="30" customHeight="1" thickTop="1" x14ac:dyDescent="0.25">
      <c r="A43" s="34" t="s">
        <v>1</v>
      </c>
      <c r="B43" s="5" t="s">
        <v>33</v>
      </c>
      <c r="C43" s="72" t="s">
        <v>34</v>
      </c>
      <c r="D43" s="76"/>
      <c r="E43" s="76"/>
      <c r="F43" s="73"/>
      <c r="G43" s="74" t="s">
        <v>48</v>
      </c>
      <c r="H43" s="38"/>
      <c r="I43" s="38"/>
      <c r="J43" s="39"/>
      <c r="K43" s="72" t="s">
        <v>36</v>
      </c>
      <c r="L43" s="76"/>
      <c r="M43" s="76"/>
      <c r="N43" s="73"/>
      <c r="O43" s="72" t="s">
        <v>37</v>
      </c>
      <c r="P43" s="76"/>
      <c r="Q43" s="73"/>
      <c r="R43" s="72" t="s">
        <v>38</v>
      </c>
      <c r="S43" s="73"/>
      <c r="T43" s="72" t="s">
        <v>39</v>
      </c>
      <c r="U43" s="73"/>
      <c r="V43" s="72" t="s">
        <v>40</v>
      </c>
      <c r="W43" s="73"/>
      <c r="X43" s="74" t="s">
        <v>41</v>
      </c>
      <c r="Y43" s="43"/>
    </row>
    <row r="44" spans="1:25" ht="30" customHeight="1" x14ac:dyDescent="0.25">
      <c r="A44" s="18">
        <v>1</v>
      </c>
      <c r="B44" s="16" t="s">
        <v>175</v>
      </c>
      <c r="C44" s="79" t="s">
        <v>231</v>
      </c>
      <c r="D44" s="80"/>
      <c r="E44" s="80"/>
      <c r="F44" s="139"/>
      <c r="G44" s="79" t="s">
        <v>70</v>
      </c>
      <c r="H44" s="80" t="s">
        <v>70</v>
      </c>
      <c r="I44" s="80" t="s">
        <v>70</v>
      </c>
      <c r="J44" s="139" t="s">
        <v>70</v>
      </c>
      <c r="K44" s="42"/>
      <c r="L44" s="38"/>
      <c r="M44" s="38"/>
      <c r="N44" s="39"/>
      <c r="O44" s="82" t="s">
        <v>106</v>
      </c>
      <c r="P44" s="38"/>
      <c r="Q44" s="39"/>
      <c r="R44" s="82" t="s">
        <v>107</v>
      </c>
      <c r="S44" s="39"/>
      <c r="T44" s="42"/>
      <c r="U44" s="39"/>
      <c r="V44" s="42"/>
      <c r="W44" s="39"/>
      <c r="X44" s="42"/>
      <c r="Y44" s="43"/>
    </row>
    <row r="45" spans="1:25" ht="30" customHeight="1" x14ac:dyDescent="0.25">
      <c r="A45" s="18">
        <v>2</v>
      </c>
      <c r="B45" s="16" t="s">
        <v>137</v>
      </c>
      <c r="C45" s="79" t="s">
        <v>232</v>
      </c>
      <c r="D45" s="80" t="s">
        <v>232</v>
      </c>
      <c r="E45" s="80" t="s">
        <v>232</v>
      </c>
      <c r="F45" s="139" t="s">
        <v>232</v>
      </c>
      <c r="G45" s="79" t="s">
        <v>55</v>
      </c>
      <c r="H45" s="80" t="s">
        <v>55</v>
      </c>
      <c r="I45" s="80" t="s">
        <v>55</v>
      </c>
      <c r="J45" s="139" t="s">
        <v>55</v>
      </c>
      <c r="K45" s="42"/>
      <c r="L45" s="38"/>
      <c r="M45" s="38"/>
      <c r="N45" s="39"/>
      <c r="O45" s="82" t="s">
        <v>106</v>
      </c>
      <c r="P45" s="38"/>
      <c r="Q45" s="39"/>
      <c r="R45" s="42"/>
      <c r="S45" s="39"/>
      <c r="T45" s="82" t="s">
        <v>107</v>
      </c>
      <c r="U45" s="39"/>
      <c r="V45" s="42"/>
      <c r="W45" s="39"/>
      <c r="X45" s="82"/>
      <c r="Y45" s="43"/>
    </row>
    <row r="46" spans="1:25" ht="30" customHeight="1" x14ac:dyDescent="0.25">
      <c r="A46" s="18">
        <v>3</v>
      </c>
      <c r="B46" s="16" t="s">
        <v>104</v>
      </c>
      <c r="C46" s="79" t="s">
        <v>178</v>
      </c>
      <c r="D46" s="80" t="s">
        <v>178</v>
      </c>
      <c r="E46" s="80" t="s">
        <v>178</v>
      </c>
      <c r="F46" s="139" t="s">
        <v>178</v>
      </c>
      <c r="G46" s="79" t="s">
        <v>55</v>
      </c>
      <c r="H46" s="80" t="s">
        <v>55</v>
      </c>
      <c r="I46" s="80" t="s">
        <v>55</v>
      </c>
      <c r="J46" s="139" t="s">
        <v>55</v>
      </c>
      <c r="K46" s="42"/>
      <c r="L46" s="38"/>
      <c r="M46" s="38"/>
      <c r="N46" s="39"/>
      <c r="O46" s="82" t="s">
        <v>106</v>
      </c>
      <c r="P46" s="38"/>
      <c r="Q46" s="39"/>
      <c r="R46" s="42"/>
      <c r="S46" s="39"/>
      <c r="T46" s="82" t="s">
        <v>107</v>
      </c>
      <c r="U46" s="39"/>
      <c r="V46" s="42"/>
      <c r="W46" s="39"/>
      <c r="X46" s="42"/>
      <c r="Y46" s="43"/>
    </row>
    <row r="47" spans="1:25" ht="30" customHeight="1" thickBot="1" x14ac:dyDescent="0.3">
      <c r="A47" s="19">
        <v>4</v>
      </c>
      <c r="B47" s="20" t="s">
        <v>179</v>
      </c>
      <c r="C47" s="135" t="s">
        <v>180</v>
      </c>
      <c r="D47" s="136"/>
      <c r="E47" s="136"/>
      <c r="F47" s="140"/>
      <c r="G47" s="135" t="s">
        <v>62</v>
      </c>
      <c r="H47" s="136" t="s">
        <v>62</v>
      </c>
      <c r="I47" s="136" t="s">
        <v>62</v>
      </c>
      <c r="J47" s="140" t="s">
        <v>62</v>
      </c>
      <c r="K47" s="52"/>
      <c r="L47" s="46"/>
      <c r="M47" s="46"/>
      <c r="N47" s="53"/>
      <c r="O47" s="128" t="s">
        <v>106</v>
      </c>
      <c r="P47" s="46"/>
      <c r="Q47" s="53"/>
      <c r="R47" s="52"/>
      <c r="S47" s="53"/>
      <c r="T47" s="52"/>
      <c r="U47" s="53"/>
      <c r="V47" s="52"/>
      <c r="W47" s="53"/>
      <c r="X47" s="52"/>
      <c r="Y47" s="47"/>
    </row>
    <row r="48" spans="1:25" ht="15.75" customHeight="1" thickTop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269">
    <mergeCell ref="C47:F47"/>
    <mergeCell ref="G47:J47"/>
    <mergeCell ref="K47:N47"/>
    <mergeCell ref="O47:Q47"/>
    <mergeCell ref="R47:S47"/>
    <mergeCell ref="T47:U47"/>
    <mergeCell ref="V47:W47"/>
    <mergeCell ref="X47:Y47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2:F42"/>
    <mergeCell ref="G42:J42"/>
    <mergeCell ref="K42:W42"/>
    <mergeCell ref="C43:F43"/>
    <mergeCell ref="G43:J43"/>
    <mergeCell ref="K43:N43"/>
    <mergeCell ref="O43:Q43"/>
    <mergeCell ref="R43:S43"/>
    <mergeCell ref="T43:U43"/>
    <mergeCell ref="V43:W43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38:F38"/>
    <mergeCell ref="G38:J38"/>
    <mergeCell ref="K38:N38"/>
    <mergeCell ref="O38:Q38"/>
    <mergeCell ref="R38:S38"/>
    <mergeCell ref="T38:U38"/>
    <mergeCell ref="V38:W38"/>
    <mergeCell ref="X38:Y38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27:F27"/>
    <mergeCell ref="G27:J27"/>
    <mergeCell ref="K27:N27"/>
    <mergeCell ref="O27:Q27"/>
    <mergeCell ref="R27:S27"/>
    <mergeCell ref="T27:U27"/>
    <mergeCell ref="V27:W27"/>
    <mergeCell ref="X27:Y27"/>
    <mergeCell ref="C29:F29"/>
    <mergeCell ref="G29:J29"/>
    <mergeCell ref="K29:W29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X7:Y7"/>
    <mergeCell ref="V8:W8"/>
    <mergeCell ref="X8:Y8"/>
    <mergeCell ref="V17:W17"/>
    <mergeCell ref="X17:Y17"/>
    <mergeCell ref="C23:F23"/>
    <mergeCell ref="G23:J23"/>
    <mergeCell ref="K23:W23"/>
    <mergeCell ref="C24:F24"/>
    <mergeCell ref="G24:J24"/>
    <mergeCell ref="K24:N24"/>
    <mergeCell ref="O24:Q24"/>
    <mergeCell ref="R24:S24"/>
    <mergeCell ref="T24:U24"/>
    <mergeCell ref="V24:W24"/>
    <mergeCell ref="X24:Y24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21:Y21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V19:W19"/>
    <mergeCell ref="X19:Y19"/>
    <mergeCell ref="C19:F19"/>
    <mergeCell ref="G19:J19"/>
    <mergeCell ref="K19:N19"/>
    <mergeCell ref="O19:Q19"/>
    <mergeCell ref="R19:S19"/>
    <mergeCell ref="T19:U19"/>
    <mergeCell ref="C18:F18"/>
    <mergeCell ref="G18:J18"/>
    <mergeCell ref="K18:N18"/>
    <mergeCell ref="O18:Q18"/>
    <mergeCell ref="R18:S18"/>
    <mergeCell ref="T18:U18"/>
    <mergeCell ref="V18:W18"/>
    <mergeCell ref="X18:Y18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T15:U15"/>
    <mergeCell ref="V15:W15"/>
    <mergeCell ref="X15:Y15"/>
    <mergeCell ref="K14:N14"/>
    <mergeCell ref="O14:Q14"/>
    <mergeCell ref="C15:F15"/>
    <mergeCell ref="G15:J15"/>
    <mergeCell ref="K15:N15"/>
    <mergeCell ref="O15:Q15"/>
    <mergeCell ref="R15:S15"/>
    <mergeCell ref="R14:S14"/>
    <mergeCell ref="T14:U14"/>
    <mergeCell ref="V14:W14"/>
    <mergeCell ref="X14:Y14"/>
    <mergeCell ref="A11:Y11"/>
    <mergeCell ref="C13:F13"/>
    <mergeCell ref="G13:J13"/>
    <mergeCell ref="K13:W13"/>
    <mergeCell ref="C14:F14"/>
    <mergeCell ref="G14:J14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GINNETH GARZON DELGADO</cp:lastModifiedBy>
  <dcterms:modified xsi:type="dcterms:W3CDTF">2026-04-20T01:50:23Z</dcterms:modified>
</cp:coreProperties>
</file>