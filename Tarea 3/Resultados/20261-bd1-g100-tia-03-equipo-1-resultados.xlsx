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olGinneth\Downloads\"/>
    </mc:Choice>
  </mc:AlternateContent>
  <bookViews>
    <workbookView xWindow="0" yWindow="0" windowWidth="28800" windowHeight="12330" activeTab="3"/>
  </bookViews>
  <sheets>
    <sheet name="Diagrama ER (corregido)" sheetId="1" r:id="rId1"/>
    <sheet name="Inventario Modelo Lógico (corre" sheetId="2" r:id="rId2"/>
    <sheet name="Tipos de Dato" sheetId="3" r:id="rId3"/>
    <sheet name="DICCIONARIO DATOS (Físico)" sheetId="4" r:id="rId4"/>
  </sheets>
  <calcPr calcId="162913"/>
  <extLst>
    <ext uri="GoogleSheetsCustomDataVersion2">
      <go:sheetsCustomData xmlns:go="http://customooxmlschemas.google.com/" r:id="rId8" roundtripDataChecksum="Bx0tAkFjwzKl8pxn56wPZwGYxSlnd9w+MeblPtuArgk="/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</calcChain>
</file>

<file path=xl/sharedStrings.xml><?xml version="1.0" encoding="utf-8"?>
<sst xmlns="http://schemas.openxmlformats.org/spreadsheetml/2006/main" count="405" uniqueCount="140">
  <si>
    <t>Tablas resultantes del Diccionario Genérico (Modelo Lógico)</t>
  </si>
  <si>
    <t>#</t>
  </si>
  <si>
    <t>Tabla</t>
  </si>
  <si>
    <t>Descripción Tabla</t>
  </si>
  <si>
    <t>Observaciones</t>
  </si>
  <si>
    <t>Tipos de Datos - Tabla Comparativa</t>
  </si>
  <si>
    <t>Tipo de Dato Genérico</t>
  </si>
  <si>
    <t>Tipos de Dato - PosgreSQL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</si>
  <si>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</si>
  <si>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</si>
  <si>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</si>
  <si>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</si>
  <si>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</si>
  <si>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</si>
  <si>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</si>
  <si>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</si>
  <si>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</si>
  <si>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IMAGEN</t>
  </si>
  <si>
    <t>AUDIO</t>
  </si>
  <si>
    <t>URL</t>
  </si>
  <si>
    <t>ENUM</t>
  </si>
  <si>
    <t>TEXTO_CORTO (opcional)</t>
  </si>
  <si>
    <t>BINARIO (opcional)</t>
  </si>
  <si>
    <t>JSON</t>
  </si>
  <si>
    <t>DICCIONARIO DE DATOS FÍSICO</t>
  </si>
  <si>
    <t>Inventario de Tablas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</si>
  <si>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</si>
  <si>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</si>
  <si>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</si>
  <si>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</si>
  <si>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</si>
  <si>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</si>
  <si>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</si>
  <si>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</si>
  <si>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</si>
  <si>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</si>
  <si>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</si>
  <si>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</si>
  <si>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Origen</t>
  </si>
  <si>
    <t>usuario</t>
  </si>
  <si>
    <t>Datos de estudiantes y otros perfiles.</t>
  </si>
  <si>
    <t>Entidad</t>
  </si>
  <si>
    <t>PK: id_usuario, UK: correo</t>
  </si>
  <si>
    <t>programa_academico</t>
  </si>
  <si>
    <t>Carreras de la institución.</t>
  </si>
  <si>
    <t>Relacionada con usuario</t>
  </si>
  <si>
    <t>publicacion</t>
  </si>
  <si>
    <t>Contenido compartido por usuarios.</t>
  </si>
  <si>
    <t>FK: id_usuario</t>
  </si>
  <si>
    <t>comentario</t>
  </si>
  <si>
    <t>Interacciones en los posts.</t>
  </si>
  <si>
    <t>FK: id_usuario, id_publicacion</t>
  </si>
  <si>
    <t>grupo_estudio</t>
  </si>
  <si>
    <t>Clubes o grupos de materias.</t>
  </si>
  <si>
    <t>miembro_grupo</t>
  </si>
  <si>
    <t>Registro de usuarios en grupos.</t>
  </si>
  <si>
    <t>Relación</t>
  </si>
  <si>
    <t>Tabla intermedia (N:M)</t>
  </si>
  <si>
    <t>evento</t>
  </si>
  <si>
    <t>Reuniones o talleres programados.</t>
  </si>
  <si>
    <t>FK: id_grupo</t>
  </si>
  <si>
    <t>reaccion</t>
  </si>
  <si>
    <t>Likes o emociones.</t>
  </si>
  <si>
    <t>Datos personales y cuenta de los estudiantes.</t>
  </si>
  <si>
    <t>Carreras o programas de la institución.</t>
  </si>
  <si>
    <t>Contenido compartido (dudas, noticias, memes).</t>
  </si>
  <si>
    <t>Interacciones de texto en las publicaciones.</t>
  </si>
  <si>
    <t>Espacios para materias o clubes de interés.</t>
  </si>
  <si>
    <t>Registro de qué usuarios están en qué grupos.</t>
  </si>
  <si>
    <t>Reuniones, talleres o actividades sociales.</t>
  </si>
  <si>
    <t>Likes o emociones en las publicaciones.</t>
  </si>
  <si>
    <t>SERIAL o BIGSERIAL</t>
  </si>
  <si>
    <t>INTEGER o INT</t>
  </si>
  <si>
    <t>NUMERIC(p,s) o DECIMAL</t>
  </si>
  <si>
    <t>BOOLEAN</t>
  </si>
  <si>
    <t>TEXT</t>
  </si>
  <si>
    <t>CHAR(n)</t>
  </si>
  <si>
    <t>DATE</t>
  </si>
  <si>
    <t>TIMESTAMP</t>
  </si>
  <si>
    <t>BYTEA o VARCHAR</t>
  </si>
  <si>
    <t>BYTEA</t>
  </si>
  <si>
    <t>VARCHAR(255)</t>
  </si>
  <si>
    <t>VARCHAR(n)</t>
  </si>
  <si>
    <t>JSONB</t>
  </si>
  <si>
    <t>Contiene PK (id_usuario) y UK (uuid_usuario)</t>
  </si>
  <si>
    <t>Relacionada con usuario (3FN).</t>
  </si>
  <si>
    <t>Posee FK a usuario.</t>
  </si>
  <si>
    <t>Posee FK a usuario y publicacion.</t>
  </si>
  <si>
    <t>Creada por un usuario moderador.</t>
  </si>
  <si>
    <t>Tabla intermedia (Relación N a M).</t>
  </si>
  <si>
    <t>Relacionada con grupo_estudio.</t>
  </si>
  <si>
    <t>Relación N a M entre usuario y post.</t>
  </si>
  <si>
    <t>USUARIO</t>
  </si>
  <si>
    <t>Información de los estudiantes registrados.</t>
  </si>
  <si>
    <t>id_usuario</t>
  </si>
  <si>
    <t>Identificador usuario</t>
  </si>
  <si>
    <t>NO</t>
  </si>
  <si>
    <t>S</t>
  </si>
  <si>
    <t>ID técnico interno.</t>
  </si>
  <si>
    <t>uuid_usuario</t>
  </si>
  <si>
    <t>Identificador universal</t>
  </si>
  <si>
    <t>ID para uso en URLs/Público.</t>
  </si>
  <si>
    <t>nombre</t>
  </si>
  <si>
    <t>Nombre del estudiante</t>
  </si>
  <si>
    <t>Nombre completo.</t>
  </si>
  <si>
    <t>correo</t>
  </si>
  <si>
    <t>Correo institucional</t>
  </si>
  <si>
    <t>Correo institucional único.</t>
  </si>
  <si>
    <t>id_programa</t>
  </si>
  <si>
    <t>Programa académico</t>
  </si>
  <si>
    <t>Relación con tabla programas.</t>
  </si>
  <si>
    <t>foto_perfil</t>
  </si>
  <si>
    <t>Foto perfil</t>
  </si>
  <si>
    <t>SI</t>
  </si>
  <si>
    <t>Ruta o binario de la foto.</t>
  </si>
  <si>
    <t>PUBLICACIONES</t>
  </si>
  <si>
    <t>Publicaciones realizadas por usuarios.</t>
  </si>
  <si>
    <t>id_publicacion</t>
  </si>
  <si>
    <t>Identificador post</t>
  </si>
  <si>
    <t>ID del post.</t>
  </si>
  <si>
    <t>Usuario que publica</t>
  </si>
  <si>
    <t>Autor del post.</t>
  </si>
  <si>
    <t>contenido</t>
  </si>
  <si>
    <t>Contenido</t>
  </si>
  <si>
    <t>Texto de la publicación.</t>
  </si>
  <si>
    <t>fecha_creacion</t>
  </si>
  <si>
    <t>Fecha publicación</t>
  </si>
  <si>
    <t>Fecha y hora del sistema.</t>
  </si>
  <si>
    <t>url_recurso</t>
  </si>
  <si>
    <t>Enlace multimedia</t>
  </si>
  <si>
    <t>Link a imagen o video externo.</t>
  </si>
  <si>
    <t>MIEMBROS_GRUPO</t>
  </si>
  <si>
    <t>Usuarios que pertenecen a grupos.</t>
  </si>
  <si>
    <t>Usuario</t>
  </si>
  <si>
    <t>Parte de la clave compuesta.</t>
  </si>
  <si>
    <t>id_grupo</t>
  </si>
  <si>
    <t>Grupo</t>
  </si>
  <si>
    <t>fecha_union</t>
  </si>
  <si>
    <t>Ingreso al grupo</t>
  </si>
  <si>
    <t>Cuándo se unió al grupo.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</si>
</sst>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4"/>
      <color theme="1"/>
      <name val="Arial"/>
      <family val="2"/>
    </font>
    <font>
      <sz val="12"/>
      <name val="Arial"/>
      <family val="2"/>
      <scheme val="major"/>
    </font>
    <font>
      <b/>
      <sz val="15"/>
      <color rgb="FF0000FF"/>
      <name val="Calibri"/>
      <family val="2"/>
    </font>
    <font>
      <b/>
      <sz val="14"/>
      <color rgb="FF000000"/>
      <name val="Calibri"/>
      <family val="2"/>
    </font>
    <font>
      <b/>
      <sz val="10"/>
      <color theme="1"/>
      <name val="Arial"/>
      <family val="2"/>
    </font>
    <font>
      <b/>
      <sz val="9"/>
      <color rgb="FF000000"/>
      <name val="Calibri"/>
      <family val="2"/>
    </font>
    <font>
      <i/>
      <sz val="14"/>
      <color rgb="FF6666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5" fillId="2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8" xfId="0" applyFont="1" applyBorder="1"/>
    <xf numFmtId="0" fontId="7" fillId="0" borderId="9" xfId="0" applyFont="1" applyBorder="1"/>
    <xf numFmtId="0" fontId="4" fillId="0" borderId="7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 indent="1" readingOrder="1"/>
    </xf>
    <xf numFmtId="0" fontId="11" fillId="0" borderId="10" xfId="0" applyFont="1" applyBorder="1" applyAlignment="1">
      <alignment vertical="center" wrapText="1" readingOrder="1"/>
    </xf>
    <xf numFmtId="0" fontId="10" fillId="0" borderId="10" xfId="0" applyFont="1" applyBorder="1" applyAlignment="1">
      <alignment horizontal="left" vertical="center" wrapText="1" indent="1" readingOrder="1"/>
    </xf>
    <xf numFmtId="0" fontId="10" fillId="0" borderId="10" xfId="0" applyFont="1" applyBorder="1" applyAlignment="1">
      <alignment vertical="center" wrapText="1" readingOrder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14" fillId="5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"/>
  <sheetViews>
    <sheetView workbookViewId="0">
      <selection activeCell="H8" sqref="H8"/>
    </sheetView>
  </sheetViews>
  <sheetFormatPr baseColWidth="10" defaultColWidth="12.5703125" defaultRowHeight="15" customHeight="1" x14ac:dyDescent="0.2"/>
  <cols>
    <col min="2" max="2" width="20.5703125" bestFit="1" customWidth="1"/>
    <col min="3" max="3" width="29.42578125" bestFit="1" customWidth="1"/>
    <col min="4" max="4" width="9.85546875" bestFit="1" customWidth="1"/>
    <col min="5" max="5" width="23.42578125" bestFit="1" customWidth="1"/>
  </cols>
  <sheetData>
    <row r="1" spans="1:5" ht="50.1" customHeight="1" thickBot="1" x14ac:dyDescent="0.25">
      <c r="A1" s="21" t="s">
        <v>1</v>
      </c>
      <c r="B1" s="21" t="s">
        <v>2</v>
      </c>
      <c r="C1" s="21" t="s">
        <v>3</v>
      </c>
      <c r="D1" s="21" t="s">
        <v>38</v>
      </c>
      <c r="E1" s="22" t="s">
        <v>4</v>
      </c>
    </row>
    <row r="2" spans="1:5" ht="50.1" customHeight="1" thickBot="1" x14ac:dyDescent="0.25">
      <c r="A2" s="23">
        <v>1</v>
      </c>
      <c r="B2" s="23" t="s">
        <v>39</v>
      </c>
      <c r="C2" s="23" t="s">
        <v>40</v>
      </c>
      <c r="D2" s="23" t="s">
        <v>41</v>
      </c>
      <c r="E2" s="24" t="s">
        <v>42</v>
      </c>
    </row>
    <row r="3" spans="1:5" ht="50.1" customHeight="1" thickBot="1" x14ac:dyDescent="0.25">
      <c r="A3" s="23">
        <v>2</v>
      </c>
      <c r="B3" s="23" t="s">
        <v>43</v>
      </c>
      <c r="C3" s="23" t="s">
        <v>44</v>
      </c>
      <c r="D3" s="23" t="s">
        <v>41</v>
      </c>
      <c r="E3" s="24" t="s">
        <v>45</v>
      </c>
    </row>
    <row r="4" spans="1:5" ht="50.1" customHeight="1" thickBot="1" x14ac:dyDescent="0.25">
      <c r="A4" s="23">
        <v>3</v>
      </c>
      <c r="B4" s="23" t="s">
        <v>46</v>
      </c>
      <c r="C4" s="23" t="s">
        <v>47</v>
      </c>
      <c r="D4" s="23" t="s">
        <v>41</v>
      </c>
      <c r="E4" s="24" t="s">
        <v>48</v>
      </c>
    </row>
    <row r="5" spans="1:5" ht="50.1" customHeight="1" thickBot="1" x14ac:dyDescent="0.25">
      <c r="A5" s="23">
        <v>4</v>
      </c>
      <c r="B5" s="23" t="s">
        <v>49</v>
      </c>
      <c r="C5" s="23" t="s">
        <v>50</v>
      </c>
      <c r="D5" s="23" t="s">
        <v>41</v>
      </c>
      <c r="E5" s="24" t="s">
        <v>51</v>
      </c>
    </row>
    <row r="6" spans="1:5" ht="50.1" customHeight="1" thickBot="1" x14ac:dyDescent="0.25">
      <c r="A6" s="23">
        <v>5</v>
      </c>
      <c r="B6" s="23" t="s">
        <v>52</v>
      </c>
      <c r="C6" s="23" t="s">
        <v>53</v>
      </c>
      <c r="D6" s="23" t="s">
        <v>41</v>
      </c>
      <c r="E6" s="24"/>
    </row>
    <row r="7" spans="1:5" ht="50.1" customHeight="1" thickBot="1" x14ac:dyDescent="0.25">
      <c r="A7" s="23">
        <v>6</v>
      </c>
      <c r="B7" s="23" t="s">
        <v>54</v>
      </c>
      <c r="C7" s="23" t="s">
        <v>55</v>
      </c>
      <c r="D7" s="23" t="s">
        <v>56</v>
      </c>
      <c r="E7" s="24" t="s">
        <v>57</v>
      </c>
    </row>
    <row r="8" spans="1:5" ht="50.1" customHeight="1" thickBot="1" x14ac:dyDescent="0.25">
      <c r="A8" s="23">
        <v>7</v>
      </c>
      <c r="B8" s="23" t="s">
        <v>58</v>
      </c>
      <c r="C8" s="23" t="s">
        <v>59</v>
      </c>
      <c r="D8" s="23" t="s">
        <v>41</v>
      </c>
      <c r="E8" s="24" t="s">
        <v>60</v>
      </c>
    </row>
    <row r="9" spans="1:5" ht="50.1" customHeight="1" thickBot="1" x14ac:dyDescent="0.25">
      <c r="A9" s="23">
        <v>8</v>
      </c>
      <c r="B9" s="23" t="s">
        <v>61</v>
      </c>
      <c r="C9" s="23" t="s">
        <v>62</v>
      </c>
      <c r="D9" s="23" t="s">
        <v>56</v>
      </c>
      <c r="E9" s="2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0"/>
  <sheetViews>
    <sheetView workbookViewId="0">
      <selection activeCell="F10" sqref="F10"/>
    </sheetView>
  </sheetViews>
  <sheetFormatPr baseColWidth="10" defaultColWidth="12.5703125" defaultRowHeight="15" customHeight="1" x14ac:dyDescent="0.2"/>
  <cols>
    <col min="1" max="1" width="7" customWidth="1"/>
    <col min="2" max="2" width="29.42578125" customWidth="1"/>
    <col min="3" max="3" width="50.7109375" customWidth="1"/>
    <col min="4" max="4" width="39.42578125" customWidth="1"/>
  </cols>
  <sheetData>
    <row r="1" spans="1:9" ht="28.5" customHeight="1" x14ac:dyDescent="0.2">
      <c r="A1" s="13" t="s">
        <v>0</v>
      </c>
      <c r="B1" s="14"/>
      <c r="C1" s="14"/>
      <c r="D1" s="14"/>
      <c r="E1" s="1"/>
      <c r="F1" s="1"/>
      <c r="G1" s="1"/>
      <c r="H1" s="1"/>
      <c r="I1" s="1"/>
    </row>
    <row r="2" spans="1:9" ht="36" customHeight="1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9" ht="30" customHeight="1" x14ac:dyDescent="0.2">
      <c r="A3" s="3">
        <v>1</v>
      </c>
      <c r="B3" s="4" t="s">
        <v>39</v>
      </c>
      <c r="C3" s="4" t="s">
        <v>63</v>
      </c>
      <c r="D3" s="4" t="s">
        <v>41</v>
      </c>
    </row>
    <row r="4" spans="1:9" ht="30" customHeight="1" x14ac:dyDescent="0.2">
      <c r="A4" s="3">
        <f t="shared" ref="A4:A27" si="0">A3+1</f>
        <v>2</v>
      </c>
      <c r="B4" s="4" t="s">
        <v>43</v>
      </c>
      <c r="C4" s="4" t="s">
        <v>64</v>
      </c>
      <c r="D4" s="4" t="s">
        <v>41</v>
      </c>
    </row>
    <row r="5" spans="1:9" ht="30" customHeight="1" x14ac:dyDescent="0.2">
      <c r="A5" s="3">
        <f t="shared" si="0"/>
        <v>3</v>
      </c>
      <c r="B5" s="4" t="s">
        <v>46</v>
      </c>
      <c r="C5" s="4" t="s">
        <v>65</v>
      </c>
      <c r="D5" s="4" t="s">
        <v>41</v>
      </c>
    </row>
    <row r="6" spans="1:9" ht="30" customHeight="1" x14ac:dyDescent="0.2">
      <c r="A6" s="3">
        <f t="shared" si="0"/>
        <v>4</v>
      </c>
      <c r="B6" s="4" t="s">
        <v>49</v>
      </c>
      <c r="C6" s="4" t="s">
        <v>66</v>
      </c>
      <c r="D6" s="4" t="s">
        <v>41</v>
      </c>
    </row>
    <row r="7" spans="1:9" ht="30" customHeight="1" x14ac:dyDescent="0.2">
      <c r="A7" s="3">
        <f t="shared" si="0"/>
        <v>5</v>
      </c>
      <c r="B7" s="4" t="s">
        <v>52</v>
      </c>
      <c r="C7" s="4" t="s">
        <v>67</v>
      </c>
      <c r="D7" s="4" t="s">
        <v>41</v>
      </c>
    </row>
    <row r="8" spans="1:9" ht="30" customHeight="1" x14ac:dyDescent="0.2">
      <c r="A8" s="3">
        <f t="shared" si="0"/>
        <v>6</v>
      </c>
      <c r="B8" s="4" t="s">
        <v>54</v>
      </c>
      <c r="C8" s="4" t="s">
        <v>68</v>
      </c>
      <c r="D8" s="4" t="s">
        <v>56</v>
      </c>
    </row>
    <row r="9" spans="1:9" ht="30" customHeight="1" x14ac:dyDescent="0.2">
      <c r="A9" s="3">
        <f t="shared" si="0"/>
        <v>7</v>
      </c>
      <c r="B9" s="4" t="s">
        <v>58</v>
      </c>
      <c r="C9" s="4" t="s">
        <v>69</v>
      </c>
      <c r="D9" s="4" t="s">
        <v>41</v>
      </c>
    </row>
    <row r="10" spans="1:9" ht="30" customHeight="1" x14ac:dyDescent="0.2">
      <c r="A10" s="3">
        <f t="shared" si="0"/>
        <v>8</v>
      </c>
      <c r="B10" s="4" t="s">
        <v>61</v>
      </c>
      <c r="C10" s="4" t="s">
        <v>70</v>
      </c>
      <c r="D10" s="4" t="s">
        <v>41</v>
      </c>
    </row>
    <row r="11" spans="1:9" ht="30" customHeight="1" x14ac:dyDescent="0.2">
      <c r="A11" s="3">
        <f t="shared" si="0"/>
        <v>9</v>
      </c>
      <c r="B11" s="4"/>
      <c r="C11" s="4"/>
      <c r="D11" s="4"/>
    </row>
    <row r="12" spans="1:9" ht="30" customHeight="1" x14ac:dyDescent="0.2">
      <c r="A12" s="3">
        <f t="shared" si="0"/>
        <v>10</v>
      </c>
      <c r="B12" s="4"/>
      <c r="C12" s="4"/>
      <c r="D12" s="4"/>
    </row>
    <row r="13" spans="1:9" ht="30" customHeight="1" x14ac:dyDescent="0.2">
      <c r="A13" s="3">
        <f t="shared" si="0"/>
        <v>11</v>
      </c>
      <c r="B13" s="4"/>
      <c r="C13" s="4"/>
      <c r="D13" s="4"/>
    </row>
    <row r="14" spans="1:9" ht="30" customHeight="1" x14ac:dyDescent="0.2">
      <c r="A14" s="3">
        <f t="shared" si="0"/>
        <v>12</v>
      </c>
      <c r="B14" s="5"/>
      <c r="C14" s="5"/>
      <c r="D14" s="5"/>
    </row>
    <row r="15" spans="1:9" ht="30" customHeight="1" x14ac:dyDescent="0.2">
      <c r="A15" s="3">
        <f t="shared" si="0"/>
        <v>13</v>
      </c>
      <c r="B15" s="5"/>
      <c r="C15" s="5"/>
      <c r="D15" s="5"/>
    </row>
    <row r="16" spans="1:9" ht="30" customHeight="1" x14ac:dyDescent="0.2">
      <c r="A16" s="3">
        <f t="shared" si="0"/>
        <v>14</v>
      </c>
      <c r="B16" s="5"/>
      <c r="C16" s="5"/>
      <c r="D16" s="5"/>
    </row>
    <row r="17" spans="1:4" ht="30" customHeight="1" x14ac:dyDescent="0.2">
      <c r="A17" s="3">
        <f t="shared" si="0"/>
        <v>15</v>
      </c>
      <c r="B17" s="5"/>
      <c r="C17" s="5"/>
      <c r="D17" s="5"/>
    </row>
    <row r="18" spans="1:4" ht="30" customHeight="1" x14ac:dyDescent="0.2">
      <c r="A18" s="3">
        <f t="shared" si="0"/>
        <v>16</v>
      </c>
      <c r="B18" s="5"/>
      <c r="C18" s="5"/>
      <c r="D18" s="5"/>
    </row>
    <row r="19" spans="1:4" ht="30" customHeight="1" x14ac:dyDescent="0.2">
      <c r="A19" s="3">
        <f t="shared" si="0"/>
        <v>17</v>
      </c>
      <c r="B19" s="5"/>
      <c r="C19" s="5"/>
      <c r="D19" s="5"/>
    </row>
    <row r="20" spans="1:4" ht="30" customHeight="1" x14ac:dyDescent="0.2">
      <c r="A20" s="3">
        <f t="shared" si="0"/>
        <v>18</v>
      </c>
      <c r="B20" s="5"/>
      <c r="C20" s="5"/>
      <c r="D20" s="5"/>
    </row>
    <row r="21" spans="1:4" ht="30" customHeight="1" x14ac:dyDescent="0.2">
      <c r="A21" s="3">
        <f t="shared" si="0"/>
        <v>19</v>
      </c>
      <c r="B21" s="5"/>
      <c r="C21" s="5"/>
      <c r="D21" s="5"/>
    </row>
    <row r="22" spans="1:4" ht="30" customHeight="1" x14ac:dyDescent="0.2">
      <c r="A22" s="3">
        <f t="shared" si="0"/>
        <v>20</v>
      </c>
      <c r="B22" s="5"/>
      <c r="C22" s="5"/>
      <c r="D22" s="5"/>
    </row>
    <row r="23" spans="1:4" ht="30" customHeight="1" x14ac:dyDescent="0.2">
      <c r="A23" s="3">
        <f t="shared" si="0"/>
        <v>21</v>
      </c>
      <c r="B23" s="5"/>
      <c r="C23" s="5"/>
      <c r="D23" s="5"/>
    </row>
    <row r="24" spans="1:4" ht="30" customHeight="1" x14ac:dyDescent="0.2">
      <c r="A24" s="3">
        <f t="shared" si="0"/>
        <v>22</v>
      </c>
      <c r="B24" s="5"/>
      <c r="C24" s="5"/>
      <c r="D24" s="5"/>
    </row>
    <row r="25" spans="1:4" ht="30" customHeight="1" x14ac:dyDescent="0.2">
      <c r="A25" s="3">
        <f t="shared" si="0"/>
        <v>23</v>
      </c>
      <c r="B25" s="5"/>
      <c r="C25" s="5"/>
      <c r="D25" s="5"/>
    </row>
    <row r="26" spans="1:4" ht="30" customHeight="1" x14ac:dyDescent="0.2">
      <c r="A26" s="3">
        <f t="shared" si="0"/>
        <v>24</v>
      </c>
      <c r="B26" s="5"/>
      <c r="C26" s="5"/>
      <c r="D26" s="5"/>
    </row>
    <row r="27" spans="1:4" ht="30" customHeight="1" x14ac:dyDescent="0.2">
      <c r="A27" s="3">
        <f t="shared" si="0"/>
        <v>25</v>
      </c>
      <c r="B27" s="5"/>
      <c r="C27" s="5"/>
      <c r="D27" s="5"/>
    </row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88"/>
  <sheetViews>
    <sheetView workbookViewId="0">
      <selection activeCell="F11" sqref="F11"/>
    </sheetView>
  </sheetViews>
  <sheetFormatPr baseColWidth="10" defaultColWidth="12.5703125" defaultRowHeight="15" customHeight="1" x14ac:dyDescent="0.2"/>
  <cols>
    <col min="1" max="1" width="7" customWidth="1"/>
    <col min="2" max="2" width="29.42578125" customWidth="1"/>
    <col min="3" max="3" width="38" customWidth="1"/>
  </cols>
  <sheetData>
    <row r="1" spans="1:8" ht="28.5" customHeight="1" x14ac:dyDescent="0.2">
      <c r="A1" s="15" t="s">
        <v>5</v>
      </c>
      <c r="B1" s="14"/>
      <c r="C1" s="14"/>
      <c r="D1" s="1"/>
      <c r="E1" s="1"/>
      <c r="F1" s="1"/>
      <c r="G1" s="1"/>
      <c r="H1" s="1"/>
    </row>
    <row r="2" spans="1:8" ht="36" customHeight="1" x14ac:dyDescent="0.2">
      <c r="A2" s="2" t="s">
        <v>1</v>
      </c>
      <c r="B2" s="6" t="s">
        <v>6</v>
      </c>
      <c r="C2" s="7" t="s">
        <v>7</v>
      </c>
    </row>
    <row r="3" spans="1:8" ht="30" customHeight="1" x14ac:dyDescent="0.2">
      <c r="A3" s="3">
        <v>1</v>
      </c>
      <c r="B3" s="8" t="s">
        <v>8</v>
      </c>
      <c r="C3" s="4" t="s">
        <v>71</v>
      </c>
    </row>
    <row r="4" spans="1:8" ht="30" customHeight="1" x14ac:dyDescent="0.2">
      <c r="A4" s="3">
        <f t="shared" ref="A4:A18" si="0">A3+1</f>
        <v>2</v>
      </c>
      <c r="B4" s="8" t="s">
        <v>9</v>
      </c>
      <c r="C4" s="4" t="s">
        <v>9</v>
      </c>
    </row>
    <row r="5" spans="1:8" ht="30" customHeight="1" x14ac:dyDescent="0.2">
      <c r="A5" s="3">
        <f t="shared" si="0"/>
        <v>3</v>
      </c>
      <c r="B5" s="8" t="s">
        <v>10</v>
      </c>
      <c r="C5" s="4" t="s">
        <v>72</v>
      </c>
    </row>
    <row r="6" spans="1:8" ht="30" customHeight="1" x14ac:dyDescent="0.2">
      <c r="A6" s="3">
        <f t="shared" si="0"/>
        <v>4</v>
      </c>
      <c r="B6" s="8" t="s">
        <v>11</v>
      </c>
      <c r="C6" s="4" t="s">
        <v>73</v>
      </c>
    </row>
    <row r="7" spans="1:8" ht="30" customHeight="1" x14ac:dyDescent="0.2">
      <c r="A7" s="3">
        <f t="shared" si="0"/>
        <v>5</v>
      </c>
      <c r="B7" s="8" t="s">
        <v>12</v>
      </c>
      <c r="C7" s="4" t="s">
        <v>74</v>
      </c>
    </row>
    <row r="8" spans="1:8" ht="30" customHeight="1" x14ac:dyDescent="0.2">
      <c r="A8" s="3">
        <f t="shared" si="0"/>
        <v>6</v>
      </c>
      <c r="B8" s="8" t="s">
        <v>13</v>
      </c>
      <c r="C8" s="4" t="s">
        <v>75</v>
      </c>
    </row>
    <row r="9" spans="1:8" ht="30" customHeight="1" x14ac:dyDescent="0.2">
      <c r="A9" s="3">
        <f t="shared" si="0"/>
        <v>7</v>
      </c>
      <c r="B9" s="8" t="s">
        <v>14</v>
      </c>
      <c r="C9" s="4" t="s">
        <v>76</v>
      </c>
    </row>
    <row r="10" spans="1:8" ht="30" customHeight="1" x14ac:dyDescent="0.2">
      <c r="A10" s="3">
        <f t="shared" si="0"/>
        <v>8</v>
      </c>
      <c r="B10" s="8" t="s">
        <v>15</v>
      </c>
      <c r="C10" s="4" t="s">
        <v>77</v>
      </c>
    </row>
    <row r="11" spans="1:8" ht="30" customHeight="1" x14ac:dyDescent="0.2">
      <c r="A11" s="3">
        <f t="shared" si="0"/>
        <v>9</v>
      </c>
      <c r="B11" s="8" t="s">
        <v>16</v>
      </c>
      <c r="C11" s="4" t="s">
        <v>78</v>
      </c>
    </row>
    <row r="12" spans="1:8" ht="30" customHeight="1" x14ac:dyDescent="0.2">
      <c r="A12" s="3">
        <f t="shared" si="0"/>
        <v>10</v>
      </c>
      <c r="B12" s="8" t="s">
        <v>17</v>
      </c>
      <c r="C12" s="4" t="s">
        <v>79</v>
      </c>
    </row>
    <row r="13" spans="1:8" ht="30" customHeight="1" x14ac:dyDescent="0.2">
      <c r="A13" s="3">
        <f t="shared" si="0"/>
        <v>11</v>
      </c>
      <c r="B13" s="8" t="s">
        <v>18</v>
      </c>
      <c r="C13" s="4" t="s">
        <v>80</v>
      </c>
    </row>
    <row r="14" spans="1:8" ht="30" customHeight="1" x14ac:dyDescent="0.2">
      <c r="A14" s="3">
        <f t="shared" si="0"/>
        <v>12</v>
      </c>
      <c r="B14" s="8" t="s">
        <v>19</v>
      </c>
      <c r="C14" s="5" t="s">
        <v>81</v>
      </c>
    </row>
    <row r="15" spans="1:8" ht="30" customHeight="1" x14ac:dyDescent="0.2">
      <c r="A15" s="3">
        <f t="shared" si="0"/>
        <v>13</v>
      </c>
      <c r="B15" s="8" t="s">
        <v>20</v>
      </c>
      <c r="C15" s="5" t="s">
        <v>20</v>
      </c>
    </row>
    <row r="16" spans="1:8" ht="30" customHeight="1" x14ac:dyDescent="0.2">
      <c r="A16" s="3">
        <f t="shared" si="0"/>
        <v>14</v>
      </c>
      <c r="B16" s="8" t="s">
        <v>21</v>
      </c>
      <c r="C16" s="5" t="s">
        <v>82</v>
      </c>
    </row>
    <row r="17" spans="1:3" ht="30" customHeight="1" x14ac:dyDescent="0.2">
      <c r="A17" s="3">
        <f t="shared" si="0"/>
        <v>15</v>
      </c>
      <c r="B17" s="8" t="s">
        <v>22</v>
      </c>
      <c r="C17" s="5" t="s">
        <v>80</v>
      </c>
    </row>
    <row r="18" spans="1:3" ht="27.75" customHeight="1" x14ac:dyDescent="0.2">
      <c r="A18" s="3">
        <f t="shared" si="0"/>
        <v>16</v>
      </c>
      <c r="B18" s="8" t="s">
        <v>23</v>
      </c>
      <c r="C18" s="5" t="s">
        <v>83</v>
      </c>
    </row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abSelected="1" workbookViewId="0">
      <selection activeCell="AA13" sqref="AA13"/>
    </sheetView>
  </sheetViews>
  <sheetFormatPr baseColWidth="10" defaultColWidth="12.5703125" defaultRowHeight="15" customHeight="1" x14ac:dyDescent="0.2"/>
  <cols>
    <col min="1" max="1" width="5.5703125" customWidth="1"/>
    <col min="2" max="2" width="16.42578125" customWidth="1"/>
    <col min="3" max="3" width="13.42578125" customWidth="1"/>
    <col min="4" max="9" width="3.85546875" customWidth="1"/>
    <col min="10" max="10" width="5.28515625" customWidth="1"/>
    <col min="11" max="22" width="3.85546875" customWidth="1"/>
    <col min="23" max="23" width="4.5703125" customWidth="1"/>
    <col min="24" max="24" width="17" customWidth="1"/>
    <col min="25" max="25" width="30.42578125" customWidth="1"/>
  </cols>
  <sheetData>
    <row r="1" spans="1:25" ht="25.5" customHeight="1" x14ac:dyDescent="0.2">
      <c r="A1" s="15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30.75" customHeight="1" thickBot="1" x14ac:dyDescent="0.25">
      <c r="A2" s="48" t="s">
        <v>25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ht="33.75" customHeight="1" thickTop="1" x14ac:dyDescent="0.2">
      <c r="A3" s="9" t="s">
        <v>1</v>
      </c>
      <c r="B3" s="20" t="s">
        <v>2</v>
      </c>
      <c r="C3" s="50"/>
      <c r="D3" s="50"/>
      <c r="E3" s="51"/>
      <c r="F3" s="20" t="s">
        <v>3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1"/>
      <c r="X3" s="20" t="s">
        <v>4</v>
      </c>
      <c r="Y3" s="52"/>
    </row>
    <row r="4" spans="1:25" ht="30" customHeight="1" x14ac:dyDescent="0.2">
      <c r="A4" s="49">
        <v>1</v>
      </c>
      <c r="B4" s="59" t="s">
        <v>39</v>
      </c>
      <c r="C4" s="59"/>
      <c r="D4" s="59"/>
      <c r="E4" s="59"/>
      <c r="F4" s="59" t="s">
        <v>63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 t="s">
        <v>84</v>
      </c>
      <c r="Y4" s="60"/>
    </row>
    <row r="5" spans="1:25" ht="30" customHeight="1" x14ac:dyDescent="0.2">
      <c r="A5" s="49">
        <f t="shared" ref="A5:A28" si="0">A4+1</f>
        <v>2</v>
      </c>
      <c r="B5" s="59" t="s">
        <v>43</v>
      </c>
      <c r="C5" s="59" t="s">
        <v>43</v>
      </c>
      <c r="D5" s="59" t="s">
        <v>43</v>
      </c>
      <c r="E5" s="59" t="s">
        <v>43</v>
      </c>
      <c r="F5" s="59" t="s">
        <v>64</v>
      </c>
      <c r="G5" s="59" t="s">
        <v>64</v>
      </c>
      <c r="H5" s="59" t="s">
        <v>64</v>
      </c>
      <c r="I5" s="59" t="s">
        <v>64</v>
      </c>
      <c r="J5" s="59" t="s">
        <v>64</v>
      </c>
      <c r="K5" s="59" t="s">
        <v>64</v>
      </c>
      <c r="L5" s="59" t="s">
        <v>64</v>
      </c>
      <c r="M5" s="59" t="s">
        <v>64</v>
      </c>
      <c r="N5" s="59" t="s">
        <v>64</v>
      </c>
      <c r="O5" s="59" t="s">
        <v>64</v>
      </c>
      <c r="P5" s="59" t="s">
        <v>64</v>
      </c>
      <c r="Q5" s="59" t="s">
        <v>64</v>
      </c>
      <c r="R5" s="59" t="s">
        <v>64</v>
      </c>
      <c r="S5" s="59" t="s">
        <v>64</v>
      </c>
      <c r="T5" s="59" t="s">
        <v>64</v>
      </c>
      <c r="U5" s="59" t="s">
        <v>64</v>
      </c>
      <c r="V5" s="59" t="s">
        <v>64</v>
      </c>
      <c r="W5" s="59" t="s">
        <v>64</v>
      </c>
      <c r="X5" s="60" t="s">
        <v>85</v>
      </c>
      <c r="Y5" s="60" t="s">
        <v>85</v>
      </c>
    </row>
    <row r="6" spans="1:25" ht="30" customHeight="1" x14ac:dyDescent="0.2">
      <c r="A6" s="49">
        <f t="shared" si="0"/>
        <v>3</v>
      </c>
      <c r="B6" s="59" t="s">
        <v>46</v>
      </c>
      <c r="C6" s="59" t="s">
        <v>46</v>
      </c>
      <c r="D6" s="59" t="s">
        <v>46</v>
      </c>
      <c r="E6" s="59" t="s">
        <v>46</v>
      </c>
      <c r="F6" s="59" t="s">
        <v>65</v>
      </c>
      <c r="G6" s="59" t="s">
        <v>65</v>
      </c>
      <c r="H6" s="59" t="s">
        <v>65</v>
      </c>
      <c r="I6" s="59" t="s">
        <v>65</v>
      </c>
      <c r="J6" s="59" t="s">
        <v>65</v>
      </c>
      <c r="K6" s="59" t="s">
        <v>65</v>
      </c>
      <c r="L6" s="59" t="s">
        <v>65</v>
      </c>
      <c r="M6" s="59" t="s">
        <v>65</v>
      </c>
      <c r="N6" s="59" t="s">
        <v>65</v>
      </c>
      <c r="O6" s="59" t="s">
        <v>65</v>
      </c>
      <c r="P6" s="59" t="s">
        <v>65</v>
      </c>
      <c r="Q6" s="59" t="s">
        <v>65</v>
      </c>
      <c r="R6" s="59" t="s">
        <v>65</v>
      </c>
      <c r="S6" s="59" t="s">
        <v>65</v>
      </c>
      <c r="T6" s="59" t="s">
        <v>65</v>
      </c>
      <c r="U6" s="59" t="s">
        <v>65</v>
      </c>
      <c r="V6" s="59" t="s">
        <v>65</v>
      </c>
      <c r="W6" s="59" t="s">
        <v>65</v>
      </c>
      <c r="X6" s="60" t="s">
        <v>86</v>
      </c>
      <c r="Y6" s="60" t="s">
        <v>86</v>
      </c>
    </row>
    <row r="7" spans="1:25" ht="30" customHeight="1" x14ac:dyDescent="0.2">
      <c r="A7" s="49">
        <f t="shared" si="0"/>
        <v>4</v>
      </c>
      <c r="B7" s="59" t="s">
        <v>49</v>
      </c>
      <c r="C7" s="59" t="s">
        <v>49</v>
      </c>
      <c r="D7" s="59" t="s">
        <v>49</v>
      </c>
      <c r="E7" s="59" t="s">
        <v>49</v>
      </c>
      <c r="F7" s="59" t="s">
        <v>66</v>
      </c>
      <c r="G7" s="59" t="s">
        <v>66</v>
      </c>
      <c r="H7" s="59" t="s">
        <v>66</v>
      </c>
      <c r="I7" s="59" t="s">
        <v>66</v>
      </c>
      <c r="J7" s="59" t="s">
        <v>66</v>
      </c>
      <c r="K7" s="59" t="s">
        <v>66</v>
      </c>
      <c r="L7" s="59" t="s">
        <v>66</v>
      </c>
      <c r="M7" s="59" t="s">
        <v>66</v>
      </c>
      <c r="N7" s="59" t="s">
        <v>66</v>
      </c>
      <c r="O7" s="59" t="s">
        <v>66</v>
      </c>
      <c r="P7" s="59" t="s">
        <v>66</v>
      </c>
      <c r="Q7" s="59" t="s">
        <v>66</v>
      </c>
      <c r="R7" s="59" t="s">
        <v>66</v>
      </c>
      <c r="S7" s="59" t="s">
        <v>66</v>
      </c>
      <c r="T7" s="59" t="s">
        <v>66</v>
      </c>
      <c r="U7" s="59" t="s">
        <v>66</v>
      </c>
      <c r="V7" s="59" t="s">
        <v>66</v>
      </c>
      <c r="W7" s="59" t="s">
        <v>66</v>
      </c>
      <c r="X7" s="60" t="s">
        <v>87</v>
      </c>
      <c r="Y7" s="60" t="s">
        <v>87</v>
      </c>
    </row>
    <row r="8" spans="1:25" ht="30" customHeight="1" x14ac:dyDescent="0.2">
      <c r="A8" s="49">
        <f t="shared" si="0"/>
        <v>5</v>
      </c>
      <c r="B8" s="59" t="s">
        <v>52</v>
      </c>
      <c r="C8" s="59" t="s">
        <v>52</v>
      </c>
      <c r="D8" s="59" t="s">
        <v>52</v>
      </c>
      <c r="E8" s="59" t="s">
        <v>52</v>
      </c>
      <c r="F8" s="59" t="s">
        <v>67</v>
      </c>
      <c r="G8" s="59" t="s">
        <v>67</v>
      </c>
      <c r="H8" s="59" t="s">
        <v>67</v>
      </c>
      <c r="I8" s="59" t="s">
        <v>67</v>
      </c>
      <c r="J8" s="59" t="s">
        <v>67</v>
      </c>
      <c r="K8" s="59" t="s">
        <v>67</v>
      </c>
      <c r="L8" s="59" t="s">
        <v>67</v>
      </c>
      <c r="M8" s="59" t="s">
        <v>67</v>
      </c>
      <c r="N8" s="59" t="s">
        <v>67</v>
      </c>
      <c r="O8" s="59" t="s">
        <v>67</v>
      </c>
      <c r="P8" s="59" t="s">
        <v>67</v>
      </c>
      <c r="Q8" s="59" t="s">
        <v>67</v>
      </c>
      <c r="R8" s="59" t="s">
        <v>67</v>
      </c>
      <c r="S8" s="59" t="s">
        <v>67</v>
      </c>
      <c r="T8" s="59" t="s">
        <v>67</v>
      </c>
      <c r="U8" s="59" t="s">
        <v>67</v>
      </c>
      <c r="V8" s="59" t="s">
        <v>67</v>
      </c>
      <c r="W8" s="59" t="s">
        <v>67</v>
      </c>
      <c r="X8" s="60" t="s">
        <v>88</v>
      </c>
      <c r="Y8" s="60" t="s">
        <v>88</v>
      </c>
    </row>
    <row r="9" spans="1:25" ht="30" customHeight="1" x14ac:dyDescent="0.2">
      <c r="A9" s="49">
        <f t="shared" si="0"/>
        <v>6</v>
      </c>
      <c r="B9" s="59" t="s">
        <v>54</v>
      </c>
      <c r="C9" s="59" t="s">
        <v>54</v>
      </c>
      <c r="D9" s="59" t="s">
        <v>54</v>
      </c>
      <c r="E9" s="59" t="s">
        <v>54</v>
      </c>
      <c r="F9" s="59" t="s">
        <v>68</v>
      </c>
      <c r="G9" s="59" t="s">
        <v>68</v>
      </c>
      <c r="H9" s="59" t="s">
        <v>68</v>
      </c>
      <c r="I9" s="59" t="s">
        <v>68</v>
      </c>
      <c r="J9" s="59" t="s">
        <v>68</v>
      </c>
      <c r="K9" s="59" t="s">
        <v>68</v>
      </c>
      <c r="L9" s="59" t="s">
        <v>68</v>
      </c>
      <c r="M9" s="59" t="s">
        <v>68</v>
      </c>
      <c r="N9" s="59" t="s">
        <v>68</v>
      </c>
      <c r="O9" s="59" t="s">
        <v>68</v>
      </c>
      <c r="P9" s="59" t="s">
        <v>68</v>
      </c>
      <c r="Q9" s="59" t="s">
        <v>68</v>
      </c>
      <c r="R9" s="59" t="s">
        <v>68</v>
      </c>
      <c r="S9" s="59" t="s">
        <v>68</v>
      </c>
      <c r="T9" s="59" t="s">
        <v>68</v>
      </c>
      <c r="U9" s="59" t="s">
        <v>68</v>
      </c>
      <c r="V9" s="59" t="s">
        <v>68</v>
      </c>
      <c r="W9" s="59" t="s">
        <v>68</v>
      </c>
      <c r="X9" s="60" t="s">
        <v>89</v>
      </c>
      <c r="Y9" s="60" t="s">
        <v>89</v>
      </c>
    </row>
    <row r="10" spans="1:25" ht="30" customHeight="1" x14ac:dyDescent="0.2">
      <c r="A10" s="49">
        <f t="shared" si="0"/>
        <v>7</v>
      </c>
      <c r="B10" s="59" t="s">
        <v>58</v>
      </c>
      <c r="C10" s="59" t="s">
        <v>58</v>
      </c>
      <c r="D10" s="59" t="s">
        <v>58</v>
      </c>
      <c r="E10" s="59" t="s">
        <v>58</v>
      </c>
      <c r="F10" s="59" t="s">
        <v>69</v>
      </c>
      <c r="G10" s="59" t="s">
        <v>69</v>
      </c>
      <c r="H10" s="59" t="s">
        <v>69</v>
      </c>
      <c r="I10" s="59" t="s">
        <v>69</v>
      </c>
      <c r="J10" s="59" t="s">
        <v>69</v>
      </c>
      <c r="K10" s="59" t="s">
        <v>69</v>
      </c>
      <c r="L10" s="59" t="s">
        <v>69</v>
      </c>
      <c r="M10" s="59" t="s">
        <v>69</v>
      </c>
      <c r="N10" s="59" t="s">
        <v>69</v>
      </c>
      <c r="O10" s="59" t="s">
        <v>69</v>
      </c>
      <c r="P10" s="59" t="s">
        <v>69</v>
      </c>
      <c r="Q10" s="59" t="s">
        <v>69</v>
      </c>
      <c r="R10" s="59" t="s">
        <v>69</v>
      </c>
      <c r="S10" s="59" t="s">
        <v>69</v>
      </c>
      <c r="T10" s="59" t="s">
        <v>69</v>
      </c>
      <c r="U10" s="59" t="s">
        <v>69</v>
      </c>
      <c r="V10" s="59" t="s">
        <v>69</v>
      </c>
      <c r="W10" s="59" t="s">
        <v>69</v>
      </c>
      <c r="X10" s="60" t="s">
        <v>90</v>
      </c>
      <c r="Y10" s="60" t="s">
        <v>90</v>
      </c>
    </row>
    <row r="11" spans="1:25" ht="30" customHeight="1" x14ac:dyDescent="0.2">
      <c r="A11" s="49">
        <f t="shared" si="0"/>
        <v>8</v>
      </c>
      <c r="B11" s="59" t="s">
        <v>61</v>
      </c>
      <c r="C11" s="59" t="s">
        <v>61</v>
      </c>
      <c r="D11" s="59" t="s">
        <v>61</v>
      </c>
      <c r="E11" s="59" t="s">
        <v>61</v>
      </c>
      <c r="F11" s="59" t="s">
        <v>70</v>
      </c>
      <c r="G11" s="59" t="s">
        <v>70</v>
      </c>
      <c r="H11" s="59" t="s">
        <v>70</v>
      </c>
      <c r="I11" s="59" t="s">
        <v>70</v>
      </c>
      <c r="J11" s="59" t="s">
        <v>70</v>
      </c>
      <c r="K11" s="59" t="s">
        <v>70</v>
      </c>
      <c r="L11" s="59" t="s">
        <v>70</v>
      </c>
      <c r="M11" s="59" t="s">
        <v>70</v>
      </c>
      <c r="N11" s="59" t="s">
        <v>70</v>
      </c>
      <c r="O11" s="59" t="s">
        <v>70</v>
      </c>
      <c r="P11" s="59" t="s">
        <v>70</v>
      </c>
      <c r="Q11" s="59" t="s">
        <v>70</v>
      </c>
      <c r="R11" s="59" t="s">
        <v>70</v>
      </c>
      <c r="S11" s="59" t="s">
        <v>70</v>
      </c>
      <c r="T11" s="59" t="s">
        <v>70</v>
      </c>
      <c r="U11" s="59" t="s">
        <v>70</v>
      </c>
      <c r="V11" s="59" t="s">
        <v>70</v>
      </c>
      <c r="W11" s="59" t="s">
        <v>70</v>
      </c>
      <c r="X11" s="60" t="s">
        <v>91</v>
      </c>
      <c r="Y11" s="60" t="s">
        <v>91</v>
      </c>
    </row>
    <row r="12" spans="1:25" ht="30" customHeight="1" x14ac:dyDescent="0.2">
      <c r="A12" s="3">
        <f t="shared" si="0"/>
        <v>9</v>
      </c>
      <c r="B12" s="53"/>
      <c r="C12" s="54"/>
      <c r="D12" s="54"/>
      <c r="E12" s="55"/>
      <c r="F12" s="56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8"/>
      <c r="X12" s="53"/>
      <c r="Y12" s="55"/>
    </row>
    <row r="13" spans="1:25" ht="30" customHeight="1" x14ac:dyDescent="0.2">
      <c r="A13" s="3">
        <f t="shared" si="0"/>
        <v>10</v>
      </c>
      <c r="B13" s="19"/>
      <c r="C13" s="47"/>
      <c r="D13" s="47"/>
      <c r="E13" s="44"/>
      <c r="F13" s="16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9"/>
      <c r="Y13" s="44"/>
    </row>
    <row r="14" spans="1:25" ht="30" customHeight="1" x14ac:dyDescent="0.2">
      <c r="A14" s="3">
        <f t="shared" si="0"/>
        <v>11</v>
      </c>
      <c r="B14" s="19"/>
      <c r="C14" s="47"/>
      <c r="D14" s="47"/>
      <c r="E14" s="44"/>
      <c r="F14" s="16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6"/>
      <c r="X14" s="19"/>
      <c r="Y14" s="44"/>
    </row>
    <row r="15" spans="1:25" ht="30" customHeight="1" x14ac:dyDescent="0.2">
      <c r="A15" s="3">
        <f t="shared" si="0"/>
        <v>12</v>
      </c>
      <c r="B15" s="19"/>
      <c r="C15" s="47"/>
      <c r="D15" s="47"/>
      <c r="E15" s="44"/>
      <c r="F15" s="16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19"/>
      <c r="Y15" s="44"/>
    </row>
    <row r="16" spans="1:25" ht="30" customHeight="1" x14ac:dyDescent="0.2">
      <c r="A16" s="3">
        <f t="shared" si="0"/>
        <v>13</v>
      </c>
      <c r="B16" s="19"/>
      <c r="C16" s="47"/>
      <c r="D16" s="47"/>
      <c r="E16" s="44"/>
      <c r="F16" s="16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19"/>
      <c r="Y16" s="44"/>
    </row>
    <row r="17" spans="1:25" ht="15.75" customHeight="1" x14ac:dyDescent="0.2">
      <c r="A17" s="3">
        <f t="shared" si="0"/>
        <v>14</v>
      </c>
      <c r="B17" s="19"/>
      <c r="C17" s="47"/>
      <c r="D17" s="47"/>
      <c r="E17" s="44"/>
      <c r="F17" s="16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19"/>
      <c r="Y17" s="44"/>
    </row>
    <row r="18" spans="1:25" ht="28.5" customHeight="1" x14ac:dyDescent="0.2">
      <c r="A18" s="3">
        <f t="shared" si="0"/>
        <v>15</v>
      </c>
      <c r="B18" s="19"/>
      <c r="C18" s="47"/>
      <c r="D18" s="47"/>
      <c r="E18" s="44"/>
      <c r="F18" s="16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6"/>
      <c r="X18" s="19"/>
      <c r="Y18" s="44"/>
    </row>
    <row r="19" spans="1:25" ht="45.75" customHeight="1" x14ac:dyDescent="0.2">
      <c r="A19" s="3">
        <f t="shared" si="0"/>
        <v>16</v>
      </c>
      <c r="B19" s="19"/>
      <c r="C19" s="47"/>
      <c r="D19" s="47"/>
      <c r="E19" s="44"/>
      <c r="F19" s="16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6"/>
      <c r="X19" s="19"/>
      <c r="Y19" s="44"/>
    </row>
    <row r="20" spans="1:25" ht="15.75" customHeight="1" x14ac:dyDescent="0.2">
      <c r="A20" s="3">
        <f t="shared" si="0"/>
        <v>17</v>
      </c>
      <c r="B20" s="19"/>
      <c r="C20" s="47"/>
      <c r="D20" s="47"/>
      <c r="E20" s="44"/>
      <c r="F20" s="16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6"/>
      <c r="X20" s="19"/>
      <c r="Y20" s="44"/>
    </row>
    <row r="21" spans="1:25" ht="26.25" customHeight="1" x14ac:dyDescent="0.2">
      <c r="A21" s="3">
        <f t="shared" si="0"/>
        <v>18</v>
      </c>
      <c r="B21" s="19"/>
      <c r="C21" s="47"/>
      <c r="D21" s="47"/>
      <c r="E21" s="44"/>
      <c r="F21" s="16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6"/>
      <c r="X21" s="19"/>
      <c r="Y21" s="44"/>
    </row>
    <row r="22" spans="1:25" ht="26.25" customHeight="1" x14ac:dyDescent="0.2">
      <c r="A22" s="3">
        <f t="shared" si="0"/>
        <v>19</v>
      </c>
      <c r="B22" s="19"/>
      <c r="C22" s="47"/>
      <c r="D22" s="47"/>
      <c r="E22" s="44"/>
      <c r="F22" s="16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6"/>
      <c r="X22" s="19"/>
      <c r="Y22" s="44"/>
    </row>
    <row r="23" spans="1:25" ht="26.25" customHeight="1" x14ac:dyDescent="0.2">
      <c r="A23" s="3">
        <f t="shared" si="0"/>
        <v>20</v>
      </c>
      <c r="B23" s="19"/>
      <c r="C23" s="47"/>
      <c r="D23" s="47"/>
      <c r="E23" s="44"/>
      <c r="F23" s="16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19"/>
      <c r="Y23" s="44"/>
    </row>
    <row r="24" spans="1:25" ht="26.25" customHeight="1" x14ac:dyDescent="0.2">
      <c r="A24" s="3">
        <f t="shared" si="0"/>
        <v>21</v>
      </c>
      <c r="B24" s="19"/>
      <c r="C24" s="47"/>
      <c r="D24" s="47"/>
      <c r="E24" s="44"/>
      <c r="F24" s="16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19"/>
      <c r="Y24" s="44"/>
    </row>
    <row r="25" spans="1:25" ht="26.25" customHeight="1" x14ac:dyDescent="0.2">
      <c r="A25" s="3">
        <f t="shared" si="0"/>
        <v>22</v>
      </c>
      <c r="B25" s="19"/>
      <c r="C25" s="47"/>
      <c r="D25" s="47"/>
      <c r="E25" s="44"/>
      <c r="F25" s="16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  <c r="X25" s="19"/>
      <c r="Y25" s="44"/>
    </row>
    <row r="26" spans="1:25" ht="26.25" customHeight="1" x14ac:dyDescent="0.2">
      <c r="A26" s="3">
        <f t="shared" si="0"/>
        <v>23</v>
      </c>
      <c r="B26" s="19"/>
      <c r="C26" s="47"/>
      <c r="D26" s="47"/>
      <c r="E26" s="44"/>
      <c r="F26" s="16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19"/>
      <c r="Y26" s="44"/>
    </row>
    <row r="27" spans="1:25" ht="28.5" customHeight="1" x14ac:dyDescent="0.2">
      <c r="A27" s="3">
        <f t="shared" si="0"/>
        <v>24</v>
      </c>
      <c r="B27" s="19"/>
      <c r="C27" s="47"/>
      <c r="D27" s="47"/>
      <c r="E27" s="44"/>
      <c r="F27" s="16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19"/>
      <c r="Y27" s="44"/>
    </row>
    <row r="28" spans="1:25" ht="48" customHeight="1" x14ac:dyDescent="0.2">
      <c r="A28" s="3">
        <f t="shared" si="0"/>
        <v>25</v>
      </c>
      <c r="B28" s="19"/>
      <c r="C28" s="47"/>
      <c r="D28" s="47"/>
      <c r="E28" s="44"/>
      <c r="F28" s="16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19"/>
      <c r="Y28" s="44"/>
    </row>
    <row r="29" spans="1:25" ht="4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25" t="s">
        <v>26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26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26.25" customHeight="1" x14ac:dyDescent="0.2">
      <c r="A32" s="28">
        <v>1</v>
      </c>
      <c r="B32" s="29" t="s">
        <v>2</v>
      </c>
      <c r="C32" s="30" t="s">
        <v>92</v>
      </c>
      <c r="D32" s="17"/>
      <c r="E32" s="17"/>
      <c r="F32" s="18"/>
      <c r="G32" s="31" t="s">
        <v>3</v>
      </c>
      <c r="H32" s="17"/>
      <c r="I32" s="17"/>
      <c r="J32" s="18"/>
      <c r="K32" s="32" t="s">
        <v>93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33" t="s">
        <v>27</v>
      </c>
      <c r="Y32" s="34">
        <v>1</v>
      </c>
    </row>
    <row r="33" spans="1:25" ht="26.25" customHeight="1" x14ac:dyDescent="0.2">
      <c r="A33" s="11" t="s">
        <v>1</v>
      </c>
      <c r="B33" s="33" t="s">
        <v>28</v>
      </c>
      <c r="C33" s="31" t="s">
        <v>29</v>
      </c>
      <c r="D33" s="17"/>
      <c r="E33" s="17"/>
      <c r="F33" s="18"/>
      <c r="G33" s="31" t="s">
        <v>30</v>
      </c>
      <c r="H33" s="17"/>
      <c r="I33" s="17"/>
      <c r="J33" s="18"/>
      <c r="K33" s="31" t="s">
        <v>31</v>
      </c>
      <c r="L33" s="17"/>
      <c r="M33" s="17"/>
      <c r="N33" s="18"/>
      <c r="O33" s="31" t="s">
        <v>32</v>
      </c>
      <c r="P33" s="17"/>
      <c r="Q33" s="18"/>
      <c r="R33" s="31" t="s">
        <v>33</v>
      </c>
      <c r="S33" s="18"/>
      <c r="T33" s="31" t="s">
        <v>34</v>
      </c>
      <c r="U33" s="18"/>
      <c r="V33" s="31" t="s">
        <v>35</v>
      </c>
      <c r="W33" s="18"/>
      <c r="X33" s="31" t="s">
        <v>36</v>
      </c>
      <c r="Y33" s="18"/>
    </row>
    <row r="34" spans="1:25" ht="26.25" customHeight="1" x14ac:dyDescent="0.2">
      <c r="A34" s="12">
        <v>1</v>
      </c>
      <c r="B34" s="35" t="s">
        <v>94</v>
      </c>
      <c r="C34" s="36" t="s">
        <v>95</v>
      </c>
      <c r="D34" s="37"/>
      <c r="E34" s="37"/>
      <c r="F34" s="38"/>
      <c r="G34" s="39" t="s">
        <v>8</v>
      </c>
      <c r="H34" s="40"/>
      <c r="I34" s="40"/>
      <c r="J34" s="41"/>
      <c r="K34" s="39"/>
      <c r="L34" s="17"/>
      <c r="M34" s="17"/>
      <c r="N34" s="18"/>
      <c r="O34" s="39" t="s">
        <v>96</v>
      </c>
      <c r="P34" s="17"/>
      <c r="Q34" s="18"/>
      <c r="R34" s="39" t="s">
        <v>97</v>
      </c>
      <c r="S34" s="18"/>
      <c r="T34" s="39"/>
      <c r="U34" s="18"/>
      <c r="V34" s="39"/>
      <c r="W34" s="18"/>
      <c r="X34" s="39" t="s">
        <v>98</v>
      </c>
      <c r="Y34" s="18"/>
    </row>
    <row r="35" spans="1:25" ht="26.25" customHeight="1" x14ac:dyDescent="0.2">
      <c r="A35" s="12">
        <v>2</v>
      </c>
      <c r="B35" s="35" t="s">
        <v>99</v>
      </c>
      <c r="C35" s="36" t="s">
        <v>100</v>
      </c>
      <c r="D35" s="37"/>
      <c r="E35" s="37"/>
      <c r="F35" s="38"/>
      <c r="G35" s="39" t="s">
        <v>9</v>
      </c>
      <c r="H35" s="40"/>
      <c r="I35" s="40"/>
      <c r="J35" s="41"/>
      <c r="K35" s="39"/>
      <c r="L35" s="17"/>
      <c r="M35" s="17"/>
      <c r="N35" s="18"/>
      <c r="O35" s="39" t="s">
        <v>96</v>
      </c>
      <c r="P35" s="17"/>
      <c r="Q35" s="18"/>
      <c r="R35" s="39"/>
      <c r="S35" s="18"/>
      <c r="T35" s="39"/>
      <c r="U35" s="18"/>
      <c r="V35" s="39" t="s">
        <v>97</v>
      </c>
      <c r="W35" s="18"/>
      <c r="X35" s="39" t="s">
        <v>101</v>
      </c>
      <c r="Y35" s="18"/>
    </row>
    <row r="36" spans="1:25" ht="48" customHeight="1" x14ac:dyDescent="0.2">
      <c r="A36" s="12">
        <v>3</v>
      </c>
      <c r="B36" s="35" t="s">
        <v>102</v>
      </c>
      <c r="C36" s="36" t="s">
        <v>103</v>
      </c>
      <c r="D36" s="37"/>
      <c r="E36" s="37"/>
      <c r="F36" s="38"/>
      <c r="G36" s="39" t="s">
        <v>13</v>
      </c>
      <c r="H36" s="40"/>
      <c r="I36" s="40"/>
      <c r="J36" s="41"/>
      <c r="K36" s="39"/>
      <c r="L36" s="17"/>
      <c r="M36" s="17"/>
      <c r="N36" s="18"/>
      <c r="O36" s="39" t="s">
        <v>96</v>
      </c>
      <c r="P36" s="17"/>
      <c r="Q36" s="18"/>
      <c r="R36" s="39"/>
      <c r="S36" s="18"/>
      <c r="T36" s="39"/>
      <c r="U36" s="18"/>
      <c r="V36" s="39"/>
      <c r="W36" s="18"/>
      <c r="X36" s="39" t="s">
        <v>104</v>
      </c>
      <c r="Y36" s="18"/>
    </row>
    <row r="37" spans="1:25" ht="45.75" customHeight="1" x14ac:dyDescent="0.2">
      <c r="A37" s="12">
        <v>4</v>
      </c>
      <c r="B37" s="35" t="s">
        <v>105</v>
      </c>
      <c r="C37" s="36" t="s">
        <v>106</v>
      </c>
      <c r="D37" s="37"/>
      <c r="E37" s="37"/>
      <c r="F37" s="38"/>
      <c r="G37" s="39" t="s">
        <v>13</v>
      </c>
      <c r="H37" s="40"/>
      <c r="I37" s="40"/>
      <c r="J37" s="41"/>
      <c r="K37" s="39"/>
      <c r="L37" s="17"/>
      <c r="M37" s="17"/>
      <c r="N37" s="18"/>
      <c r="O37" s="39" t="s">
        <v>96</v>
      </c>
      <c r="P37" s="17"/>
      <c r="Q37" s="18"/>
      <c r="R37" s="42"/>
      <c r="S37" s="10"/>
      <c r="T37" s="42"/>
      <c r="U37" s="10"/>
      <c r="V37" s="39" t="s">
        <v>97</v>
      </c>
      <c r="W37" s="18"/>
      <c r="X37" s="39" t="s">
        <v>107</v>
      </c>
      <c r="Y37" s="18"/>
    </row>
    <row r="38" spans="1:25" ht="15.75" customHeight="1" x14ac:dyDescent="0.2">
      <c r="A38" s="12">
        <v>5</v>
      </c>
      <c r="B38" s="35" t="s">
        <v>108</v>
      </c>
      <c r="C38" s="36" t="s">
        <v>109</v>
      </c>
      <c r="D38" s="37"/>
      <c r="E38" s="37"/>
      <c r="F38" s="38"/>
      <c r="G38" s="39" t="s">
        <v>10</v>
      </c>
      <c r="H38" s="40"/>
      <c r="I38" s="40"/>
      <c r="J38" s="41"/>
      <c r="K38" s="39"/>
      <c r="L38" s="17"/>
      <c r="M38" s="17"/>
      <c r="N38" s="18"/>
      <c r="O38" s="39" t="s">
        <v>96</v>
      </c>
      <c r="P38" s="17"/>
      <c r="Q38" s="18"/>
      <c r="R38" s="39"/>
      <c r="S38" s="18"/>
      <c r="T38" s="39" t="s">
        <v>97</v>
      </c>
      <c r="U38" s="18"/>
      <c r="V38" s="39"/>
      <c r="W38" s="18"/>
      <c r="X38" s="39" t="s">
        <v>110</v>
      </c>
      <c r="Y38" s="18"/>
    </row>
    <row r="39" spans="1:25" ht="26.25" customHeight="1" x14ac:dyDescent="0.2">
      <c r="A39" s="12">
        <v>6</v>
      </c>
      <c r="B39" s="35" t="s">
        <v>111</v>
      </c>
      <c r="C39" s="36" t="s">
        <v>112</v>
      </c>
      <c r="D39" s="37"/>
      <c r="E39" s="37"/>
      <c r="F39" s="38"/>
      <c r="G39" s="39" t="s">
        <v>17</v>
      </c>
      <c r="H39" s="40"/>
      <c r="I39" s="40"/>
      <c r="J39" s="41"/>
      <c r="K39" s="39"/>
      <c r="L39" s="17"/>
      <c r="M39" s="17"/>
      <c r="N39" s="18"/>
      <c r="O39" s="39" t="s">
        <v>113</v>
      </c>
      <c r="P39" s="17"/>
      <c r="Q39" s="18"/>
      <c r="R39" s="39"/>
      <c r="S39" s="18"/>
      <c r="T39" s="39"/>
      <c r="U39" s="18"/>
      <c r="V39" s="39"/>
      <c r="W39" s="18"/>
      <c r="X39" s="39" t="s">
        <v>114</v>
      </c>
      <c r="Y39" s="18"/>
    </row>
    <row r="40" spans="1:25" ht="26.25" customHeight="1" x14ac:dyDescent="0.2">
      <c r="A40" s="43" t="s"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8"/>
    </row>
    <row r="41" spans="1:25" ht="26.2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36" customHeight="1" x14ac:dyDescent="0.2">
      <c r="A42" s="28">
        <v>2</v>
      </c>
      <c r="B42" s="29" t="s">
        <v>2</v>
      </c>
      <c r="C42" s="30" t="s">
        <v>115</v>
      </c>
      <c r="D42" s="17"/>
      <c r="E42" s="17"/>
      <c r="F42" s="18"/>
      <c r="G42" s="31" t="s">
        <v>3</v>
      </c>
      <c r="H42" s="17"/>
      <c r="I42" s="17"/>
      <c r="J42" s="18"/>
      <c r="K42" s="32" t="s">
        <v>116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33" t="s">
        <v>27</v>
      </c>
      <c r="Y42" s="34">
        <v>1</v>
      </c>
    </row>
    <row r="43" spans="1:25" ht="15.75" customHeight="1" x14ac:dyDescent="0.2">
      <c r="A43" s="11" t="s">
        <v>1</v>
      </c>
      <c r="B43" s="33" t="s">
        <v>28</v>
      </c>
      <c r="C43" s="31" t="s">
        <v>29</v>
      </c>
      <c r="D43" s="17"/>
      <c r="E43" s="17"/>
      <c r="F43" s="18"/>
      <c r="G43" s="31" t="s">
        <v>30</v>
      </c>
      <c r="H43" s="17"/>
      <c r="I43" s="17"/>
      <c r="J43" s="18"/>
      <c r="K43" s="31" t="s">
        <v>31</v>
      </c>
      <c r="L43" s="17"/>
      <c r="M43" s="17"/>
      <c r="N43" s="18"/>
      <c r="O43" s="31" t="s">
        <v>32</v>
      </c>
      <c r="P43" s="17"/>
      <c r="Q43" s="18"/>
      <c r="R43" s="31" t="s">
        <v>33</v>
      </c>
      <c r="S43" s="18"/>
      <c r="T43" s="31" t="s">
        <v>34</v>
      </c>
      <c r="U43" s="18"/>
      <c r="V43" s="31" t="s">
        <v>35</v>
      </c>
      <c r="W43" s="18"/>
      <c r="X43" s="31" t="s">
        <v>36</v>
      </c>
      <c r="Y43" s="18"/>
    </row>
    <row r="44" spans="1:25" ht="15.75" customHeight="1" x14ac:dyDescent="0.2">
      <c r="A44" s="12">
        <v>1</v>
      </c>
      <c r="B44" s="35" t="s">
        <v>117</v>
      </c>
      <c r="C44" s="39" t="s">
        <v>118</v>
      </c>
      <c r="D44" s="40"/>
      <c r="E44" s="40"/>
      <c r="F44" s="41"/>
      <c r="G44" s="39" t="s">
        <v>8</v>
      </c>
      <c r="H44" s="17"/>
      <c r="I44" s="17"/>
      <c r="J44" s="18"/>
      <c r="K44" s="39"/>
      <c r="L44" s="17"/>
      <c r="M44" s="17"/>
      <c r="N44" s="18"/>
      <c r="O44" s="39" t="s">
        <v>96</v>
      </c>
      <c r="P44" s="17"/>
      <c r="Q44" s="18"/>
      <c r="R44" s="39" t="s">
        <v>97</v>
      </c>
      <c r="S44" s="18"/>
      <c r="T44" s="39"/>
      <c r="U44" s="18"/>
      <c r="V44" s="39"/>
      <c r="W44" s="18"/>
      <c r="X44" s="39" t="s">
        <v>119</v>
      </c>
      <c r="Y44" s="18"/>
    </row>
    <row r="45" spans="1:25" ht="15.75" customHeight="1" x14ac:dyDescent="0.2">
      <c r="A45" s="12">
        <v>2</v>
      </c>
      <c r="B45" s="35" t="s">
        <v>94</v>
      </c>
      <c r="C45" s="39" t="s">
        <v>120</v>
      </c>
      <c r="D45" s="40"/>
      <c r="E45" s="40"/>
      <c r="F45" s="41"/>
      <c r="G45" s="39" t="s">
        <v>10</v>
      </c>
      <c r="H45" s="17"/>
      <c r="I45" s="17"/>
      <c r="J45" s="18"/>
      <c r="K45" s="39"/>
      <c r="L45" s="17"/>
      <c r="M45" s="17"/>
      <c r="N45" s="18"/>
      <c r="O45" s="39" t="s">
        <v>96</v>
      </c>
      <c r="P45" s="17"/>
      <c r="Q45" s="18"/>
      <c r="R45" s="39"/>
      <c r="S45" s="18"/>
      <c r="T45" s="39" t="s">
        <v>97</v>
      </c>
      <c r="U45" s="18"/>
      <c r="V45" s="39"/>
      <c r="W45" s="18"/>
      <c r="X45" s="39" t="s">
        <v>121</v>
      </c>
      <c r="Y45" s="18"/>
    </row>
    <row r="46" spans="1:25" ht="15.75" customHeight="1" x14ac:dyDescent="0.2">
      <c r="A46" s="12">
        <v>3</v>
      </c>
      <c r="B46" s="35" t="s">
        <v>122</v>
      </c>
      <c r="C46" s="39" t="s">
        <v>123</v>
      </c>
      <c r="D46" s="40"/>
      <c r="E46" s="40"/>
      <c r="F46" s="41"/>
      <c r="G46" s="39" t="s">
        <v>13</v>
      </c>
      <c r="H46" s="17"/>
      <c r="I46" s="17"/>
      <c r="J46" s="18"/>
      <c r="K46" s="39"/>
      <c r="L46" s="17"/>
      <c r="M46" s="17"/>
      <c r="N46" s="18"/>
      <c r="O46" s="39" t="s">
        <v>113</v>
      </c>
      <c r="P46" s="17"/>
      <c r="Q46" s="18"/>
      <c r="R46" s="39"/>
      <c r="S46" s="18"/>
      <c r="T46" s="39"/>
      <c r="U46" s="18"/>
      <c r="V46" s="39"/>
      <c r="W46" s="18"/>
      <c r="X46" s="39" t="s">
        <v>124</v>
      </c>
      <c r="Y46" s="18"/>
    </row>
    <row r="47" spans="1:25" ht="15.75" customHeight="1" x14ac:dyDescent="0.2">
      <c r="A47" s="12">
        <v>4</v>
      </c>
      <c r="B47" s="35" t="s">
        <v>125</v>
      </c>
      <c r="C47" s="39" t="s">
        <v>126</v>
      </c>
      <c r="D47" s="40"/>
      <c r="E47" s="40"/>
      <c r="F47" s="41"/>
      <c r="G47" s="39" t="s">
        <v>16</v>
      </c>
      <c r="H47" s="17"/>
      <c r="I47" s="17"/>
      <c r="J47" s="18"/>
      <c r="K47" s="39"/>
      <c r="L47" s="17"/>
      <c r="M47" s="17"/>
      <c r="N47" s="18"/>
      <c r="O47" s="39" t="s">
        <v>96</v>
      </c>
      <c r="P47" s="17"/>
      <c r="Q47" s="18"/>
      <c r="R47" s="39"/>
      <c r="S47" s="18"/>
      <c r="T47" s="39"/>
      <c r="U47" s="18"/>
      <c r="V47" s="39"/>
      <c r="W47" s="18"/>
      <c r="X47" s="39" t="s">
        <v>127</v>
      </c>
      <c r="Y47" s="18"/>
    </row>
    <row r="48" spans="1:25" ht="15.75" customHeight="1" x14ac:dyDescent="0.2">
      <c r="A48" s="12">
        <v>5</v>
      </c>
      <c r="B48" s="35" t="s">
        <v>128</v>
      </c>
      <c r="C48" s="39" t="s">
        <v>129</v>
      </c>
      <c r="D48" s="40"/>
      <c r="E48" s="40"/>
      <c r="F48" s="41"/>
      <c r="G48" s="39" t="s">
        <v>19</v>
      </c>
      <c r="H48" s="17"/>
      <c r="I48" s="17"/>
      <c r="J48" s="18"/>
      <c r="K48" s="39"/>
      <c r="L48" s="17"/>
      <c r="M48" s="17"/>
      <c r="N48" s="18"/>
      <c r="O48" s="39" t="s">
        <v>113</v>
      </c>
      <c r="P48" s="17"/>
      <c r="Q48" s="18"/>
      <c r="R48" s="39"/>
      <c r="S48" s="18"/>
      <c r="T48" s="39"/>
      <c r="U48" s="18"/>
      <c r="V48" s="39"/>
      <c r="W48" s="18"/>
      <c r="X48" s="39" t="s">
        <v>130</v>
      </c>
      <c r="Y48" s="18"/>
    </row>
    <row r="49" spans="1:25" ht="15.7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15.75" customHeight="1" x14ac:dyDescent="0.2">
      <c r="A50" s="28">
        <v>2</v>
      </c>
      <c r="B50" s="29" t="s">
        <v>2</v>
      </c>
      <c r="C50" s="30" t="s">
        <v>131</v>
      </c>
      <c r="D50" s="17"/>
      <c r="E50" s="17"/>
      <c r="F50" s="18"/>
      <c r="G50" s="31" t="s">
        <v>3</v>
      </c>
      <c r="H50" s="17"/>
      <c r="I50" s="17"/>
      <c r="J50" s="18"/>
      <c r="K50" s="32" t="s">
        <v>132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8"/>
      <c r="X50" s="33" t="s">
        <v>27</v>
      </c>
      <c r="Y50" s="34">
        <v>1</v>
      </c>
    </row>
    <row r="51" spans="1:25" ht="15.75" customHeight="1" x14ac:dyDescent="0.2">
      <c r="A51" s="11" t="s">
        <v>1</v>
      </c>
      <c r="B51" s="33" t="s">
        <v>28</v>
      </c>
      <c r="C51" s="31" t="s">
        <v>29</v>
      </c>
      <c r="D51" s="17"/>
      <c r="E51" s="17"/>
      <c r="F51" s="18"/>
      <c r="G51" s="31" t="s">
        <v>30</v>
      </c>
      <c r="H51" s="17"/>
      <c r="I51" s="17"/>
      <c r="J51" s="18"/>
      <c r="K51" s="31" t="s">
        <v>31</v>
      </c>
      <c r="L51" s="17"/>
      <c r="M51" s="17"/>
      <c r="N51" s="18"/>
      <c r="O51" s="31" t="s">
        <v>32</v>
      </c>
      <c r="P51" s="17"/>
      <c r="Q51" s="18"/>
      <c r="R51" s="31" t="s">
        <v>33</v>
      </c>
      <c r="S51" s="18"/>
      <c r="T51" s="31" t="s">
        <v>34</v>
      </c>
      <c r="U51" s="18"/>
      <c r="V51" s="31" t="s">
        <v>35</v>
      </c>
      <c r="W51" s="18"/>
      <c r="X51" s="31" t="s">
        <v>36</v>
      </c>
      <c r="Y51" s="18"/>
    </row>
    <row r="52" spans="1:25" ht="15.75" customHeight="1" x14ac:dyDescent="0.2">
      <c r="A52" s="12">
        <v>1</v>
      </c>
      <c r="B52" s="35" t="s">
        <v>94</v>
      </c>
      <c r="C52" s="39" t="s">
        <v>133</v>
      </c>
      <c r="D52" s="17"/>
      <c r="E52" s="17"/>
      <c r="F52" s="18"/>
      <c r="G52" s="39" t="s">
        <v>10</v>
      </c>
      <c r="H52" s="17"/>
      <c r="I52" s="17"/>
      <c r="J52" s="18"/>
      <c r="K52" s="39"/>
      <c r="L52" s="17"/>
      <c r="M52" s="17"/>
      <c r="N52" s="18"/>
      <c r="O52" s="39" t="s">
        <v>96</v>
      </c>
      <c r="P52" s="17"/>
      <c r="Q52" s="18"/>
      <c r="R52" s="39" t="s">
        <v>97</v>
      </c>
      <c r="S52" s="18"/>
      <c r="T52" s="39" t="s">
        <v>97</v>
      </c>
      <c r="U52" s="18"/>
      <c r="V52" s="39"/>
      <c r="W52" s="18"/>
      <c r="X52" s="39" t="s">
        <v>134</v>
      </c>
      <c r="Y52" s="18"/>
    </row>
    <row r="53" spans="1:25" ht="15.75" customHeight="1" x14ac:dyDescent="0.2">
      <c r="A53" s="12">
        <v>2</v>
      </c>
      <c r="B53" s="35" t="s">
        <v>135</v>
      </c>
      <c r="C53" s="39" t="s">
        <v>136</v>
      </c>
      <c r="D53" s="17"/>
      <c r="E53" s="17"/>
      <c r="F53" s="18"/>
      <c r="G53" s="39" t="s">
        <v>10</v>
      </c>
      <c r="H53" s="17"/>
      <c r="I53" s="17"/>
      <c r="J53" s="18"/>
      <c r="K53" s="39"/>
      <c r="L53" s="17"/>
      <c r="M53" s="17"/>
      <c r="N53" s="18"/>
      <c r="O53" s="39" t="s">
        <v>96</v>
      </c>
      <c r="P53" s="17"/>
      <c r="Q53" s="18"/>
      <c r="R53" s="39" t="s">
        <v>97</v>
      </c>
      <c r="S53" s="18"/>
      <c r="T53" s="39" t="s">
        <v>97</v>
      </c>
      <c r="U53" s="18"/>
      <c r="V53" s="39"/>
      <c r="W53" s="18"/>
      <c r="X53" s="39" t="s">
        <v>134</v>
      </c>
      <c r="Y53" s="18"/>
    </row>
    <row r="54" spans="1:25" ht="15.75" customHeight="1" x14ac:dyDescent="0.2">
      <c r="A54" s="12">
        <v>3</v>
      </c>
      <c r="B54" s="35" t="s">
        <v>137</v>
      </c>
      <c r="C54" s="39" t="s">
        <v>138</v>
      </c>
      <c r="D54" s="17"/>
      <c r="E54" s="17"/>
      <c r="F54" s="18"/>
      <c r="G54" s="39" t="s">
        <v>15</v>
      </c>
      <c r="H54" s="17"/>
      <c r="I54" s="17"/>
      <c r="J54" s="18"/>
      <c r="K54" s="39"/>
      <c r="L54" s="17"/>
      <c r="M54" s="17"/>
      <c r="N54" s="18"/>
      <c r="O54" s="39" t="s">
        <v>96</v>
      </c>
      <c r="P54" s="17"/>
      <c r="Q54" s="18"/>
      <c r="R54" s="39"/>
      <c r="S54" s="18"/>
      <c r="T54" s="39"/>
      <c r="U54" s="18"/>
      <c r="V54" s="39"/>
      <c r="W54" s="18"/>
      <c r="X54" s="39" t="s">
        <v>139</v>
      </c>
      <c r="Y54" s="18"/>
    </row>
    <row r="55" spans="1:25" ht="15.75" customHeight="1" x14ac:dyDescent="0.2"/>
    <row r="56" spans="1:25" ht="15.75" customHeight="1" x14ac:dyDescent="0.2"/>
    <row r="57" spans="1:25" ht="15.75" customHeight="1" x14ac:dyDescent="0.2"/>
    <row r="58" spans="1:25" ht="15.75" customHeight="1" x14ac:dyDescent="0.2"/>
    <row r="59" spans="1:25" ht="15.75" customHeight="1" x14ac:dyDescent="0.2"/>
    <row r="60" spans="1:25" ht="15.75" customHeight="1" x14ac:dyDescent="0.2"/>
    <row r="61" spans="1:25" ht="15.75" customHeight="1" x14ac:dyDescent="0.2"/>
    <row r="62" spans="1:25" ht="15.75" customHeight="1" x14ac:dyDescent="0.2"/>
    <row r="63" spans="1:25" ht="15.75" customHeight="1" x14ac:dyDescent="0.2"/>
    <row r="64" spans="1:2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5">
    <mergeCell ref="C53:F53"/>
    <mergeCell ref="G53:J53"/>
    <mergeCell ref="K53:N53"/>
    <mergeCell ref="O53:Q53"/>
    <mergeCell ref="R53:S53"/>
    <mergeCell ref="T53:U53"/>
    <mergeCell ref="V53:W53"/>
    <mergeCell ref="X53:Y53"/>
    <mergeCell ref="C54:F54"/>
    <mergeCell ref="G54:J54"/>
    <mergeCell ref="K54:N54"/>
    <mergeCell ref="O54:Q54"/>
    <mergeCell ref="R54:S54"/>
    <mergeCell ref="T54:U54"/>
    <mergeCell ref="V54:W54"/>
    <mergeCell ref="X54:Y54"/>
    <mergeCell ref="K43:N43"/>
    <mergeCell ref="O43:Q43"/>
    <mergeCell ref="R43:S43"/>
    <mergeCell ref="T43:U43"/>
    <mergeCell ref="V43:W43"/>
    <mergeCell ref="X43:Y43"/>
    <mergeCell ref="K50:W50"/>
    <mergeCell ref="C52:F52"/>
    <mergeCell ref="G52:J52"/>
    <mergeCell ref="K52:N52"/>
    <mergeCell ref="O52:Q52"/>
    <mergeCell ref="R52:S52"/>
    <mergeCell ref="T52:U52"/>
    <mergeCell ref="V52:W52"/>
    <mergeCell ref="X52:Y52"/>
    <mergeCell ref="A40:Y40"/>
    <mergeCell ref="C42:F42"/>
    <mergeCell ref="G42:J42"/>
    <mergeCell ref="K42:W42"/>
    <mergeCell ref="G48:J48"/>
    <mergeCell ref="K48:N48"/>
    <mergeCell ref="O48:Q48"/>
    <mergeCell ref="R48:S48"/>
    <mergeCell ref="T48:U48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G50:J50"/>
    <mergeCell ref="G43:J43"/>
    <mergeCell ref="G44:J44"/>
    <mergeCell ref="K44:N44"/>
    <mergeCell ref="O44:Q44"/>
    <mergeCell ref="R44:S44"/>
    <mergeCell ref="T44:U44"/>
    <mergeCell ref="G45:J45"/>
    <mergeCell ref="K45:N45"/>
    <mergeCell ref="G39:J39"/>
    <mergeCell ref="K39:N39"/>
    <mergeCell ref="O39:Q39"/>
    <mergeCell ref="R39:S39"/>
    <mergeCell ref="T39:U39"/>
    <mergeCell ref="V39:W39"/>
    <mergeCell ref="X39:Y39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G37:J37"/>
    <mergeCell ref="K37:N37"/>
    <mergeCell ref="O37:Q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2:J32"/>
    <mergeCell ref="K32:W32"/>
    <mergeCell ref="G33:J33"/>
    <mergeCell ref="K33:N33"/>
    <mergeCell ref="O33:Q33"/>
    <mergeCell ref="R33:S33"/>
    <mergeCell ref="T33:U33"/>
    <mergeCell ref="G34:J34"/>
    <mergeCell ref="K34:N34"/>
    <mergeCell ref="O34:Q34"/>
    <mergeCell ref="R34:S34"/>
    <mergeCell ref="T34:U34"/>
    <mergeCell ref="V34:W34"/>
    <mergeCell ref="C45:F45"/>
    <mergeCell ref="C46:F46"/>
    <mergeCell ref="C47:F47"/>
    <mergeCell ref="C48:F48"/>
    <mergeCell ref="C50:F50"/>
    <mergeCell ref="C51:F51"/>
    <mergeCell ref="C35:F35"/>
    <mergeCell ref="C36:F36"/>
    <mergeCell ref="C37:F37"/>
    <mergeCell ref="C38:F38"/>
    <mergeCell ref="C39:F39"/>
    <mergeCell ref="C43:F43"/>
    <mergeCell ref="B21:E21"/>
    <mergeCell ref="B22:E22"/>
    <mergeCell ref="B23:E23"/>
    <mergeCell ref="B24:E24"/>
    <mergeCell ref="B25:E25"/>
    <mergeCell ref="B26:E26"/>
    <mergeCell ref="B27:E27"/>
    <mergeCell ref="B28:E28"/>
    <mergeCell ref="C32:F32"/>
    <mergeCell ref="F21:W21"/>
    <mergeCell ref="X21:Y21"/>
    <mergeCell ref="X22:Y22"/>
    <mergeCell ref="V44:W44"/>
    <mergeCell ref="X44:Y44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C33:F33"/>
    <mergeCell ref="C34:F34"/>
    <mergeCell ref="C44:F44"/>
    <mergeCell ref="V33:W33"/>
    <mergeCell ref="X33:Y33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F27:W27"/>
    <mergeCell ref="X27:Y27"/>
    <mergeCell ref="F28:W28"/>
    <mergeCell ref="X28:Y28"/>
    <mergeCell ref="A30:Y30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ER (corregido)</vt:lpstr>
      <vt:lpstr>Inventario Modelo Lógico (corre</vt:lpstr>
      <vt:lpstr>Tipos de Dato</vt:lpstr>
      <vt:lpstr>DICCIONARIO DATOS (Físico)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Ginneth</cp:lastModifiedBy>
  <dcterms:modified xsi:type="dcterms:W3CDTF">2026-04-11T01:19:57Z</dcterms:modified>
</cp:coreProperties>
</file>